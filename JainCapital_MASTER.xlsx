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SectorMap" sheetId="1" state="hidden" r:id="rId3"/>
    <sheet name="Performance Dashboard" sheetId="2" state="visible" r:id="rId4"/>
    <sheet name="Trade Tracker" sheetId="3" state="visible" r:id="rId5"/>
    <sheet name="🔔 Alert Board" sheetId="4" state="visible" r:id="rId6"/>
    <sheet name="Sector Analysis" sheetId="5" state="visible" r:id="rId7"/>
    <sheet name="📋 Setup Guide" sheetId="6" state="visible" r:id="rId8"/>
    <sheet name="💰 Portfolio Sim" sheetId="7" state="visible" r:id="rId9"/>
    <sheet name="Apps Script Co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<sst xmlns="http://schemas.openxmlformats.org/spreadsheetml/2006/main" count="2171" uniqueCount="776">
  <si>
    <t xml:space="preserve">Ticker</t>
  </si>
  <si>
    <t xml:space="preserve">Sector</t>
  </si>
  <si>
    <t xml:space="preserve">Notes</t>
  </si>
  <si>
    <t xml:space="preserve">RELIANCE</t>
  </si>
  <si>
    <t xml:space="preserve">Energy</t>
  </si>
  <si>
    <t xml:space="preserve">Strong Q2</t>
  </si>
  <si>
    <t xml:space="preserve">INFY</t>
  </si>
  <si>
    <t xml:space="preserve">IT</t>
  </si>
  <si>
    <t xml:space="preserve">Midcap IT tailwind</t>
  </si>
  <si>
    <t xml:space="preserve">HDFCBANK</t>
  </si>
  <si>
    <t xml:space="preserve">Banking</t>
  </si>
  <si>
    <t xml:space="preserve">Strong AUM</t>
  </si>
  <si>
    <t xml:space="preserve">TATAMOTORS</t>
  </si>
  <si>
    <t xml:space="preserve">Auto</t>
  </si>
  <si>
    <t xml:space="preserve">EV segment</t>
  </si>
  <si>
    <t xml:space="preserve">SUNPHARMA</t>
  </si>
  <si>
    <t xml:space="preserve">Pharma</t>
  </si>
  <si>
    <t xml:space="preserve">US generics</t>
  </si>
  <si>
    <t xml:space="preserve">ANGELONE</t>
  </si>
  <si>
    <t xml:space="preserve">Broking</t>
  </si>
  <si>
    <t xml:space="preserve">Weak guidance</t>
  </si>
  <si>
    <t xml:space="preserve">NMDC</t>
  </si>
  <si>
    <t xml:space="preserve">Metals</t>
  </si>
  <si>
    <t xml:space="preserve">Iron ore vol.</t>
  </si>
  <si>
    <t xml:space="preserve">NATCOPHARM</t>
  </si>
  <si>
    <t xml:space="preserve">Quick commerce</t>
  </si>
  <si>
    <t xml:space="preserve">PRAJIND</t>
  </si>
  <si>
    <t xml:space="preserve">Crude recovery</t>
  </si>
  <si>
    <t xml:space="preserve">COCHINSHIP</t>
  </si>
  <si>
    <t xml:space="preserve">Defence</t>
  </si>
  <si>
    <t xml:space="preserve">Order book</t>
  </si>
  <si>
    <t xml:space="preserve">CHAMBLFERT</t>
  </si>
  <si>
    <t xml:space="preserve">Chemicals</t>
  </si>
  <si>
    <t xml:space="preserve">Sector tailwind</t>
  </si>
  <si>
    <t xml:space="preserve">JPPOWER</t>
  </si>
  <si>
    <t xml:space="preserve">Power</t>
  </si>
  <si>
    <t xml:space="preserve">PSU re-rating</t>
  </si>
  <si>
    <t xml:space="preserve">IRFC</t>
  </si>
  <si>
    <t xml:space="preserve">NBFC</t>
  </si>
  <si>
    <t xml:space="preserve">Railway capex</t>
  </si>
  <si>
    <t xml:space="preserve">IREDA</t>
  </si>
  <si>
    <t xml:space="preserve">Green energy</t>
  </si>
  <si>
    <t xml:space="preserve">ADANIENSOL</t>
  </si>
  <si>
    <t xml:space="preserve">Capex cycle</t>
  </si>
  <si>
    <t xml:space="preserve">DATAPATTNS</t>
  </si>
  <si>
    <t xml:space="preserve">DRDO orders</t>
  </si>
  <si>
    <t xml:space="preserve">MEESHO</t>
  </si>
  <si>
    <t xml:space="preserve">Consumer</t>
  </si>
  <si>
    <t xml:space="preserve">BIRLACABLE</t>
  </si>
  <si>
    <t xml:space="preserve">Telecom</t>
  </si>
  <si>
    <t xml:space="preserve">Infra build-out</t>
  </si>
  <si>
    <t xml:space="preserve">UTIAMC</t>
  </si>
  <si>
    <t xml:space="preserve">AMC</t>
  </si>
  <si>
    <t xml:space="preserve">SIP growth</t>
  </si>
  <si>
    <t xml:space="preserve">APOLLOMICR</t>
  </si>
  <si>
    <t xml:space="preserve">Defence exports</t>
  </si>
  <si>
    <t xml:space="preserve">CHENNPETRO</t>
  </si>
  <si>
    <t xml:space="preserve">Refining margins</t>
  </si>
  <si>
    <t xml:space="preserve">LAURUSLABS</t>
  </si>
  <si>
    <t xml:space="preserve">CDMO ramp-up</t>
  </si>
  <si>
    <t xml:space="preserve">RECLTD</t>
  </si>
  <si>
    <t xml:space="preserve">Power lending</t>
  </si>
  <si>
    <t xml:space="preserve">EMBDL</t>
  </si>
  <si>
    <t xml:space="preserve">Capex tailwind</t>
  </si>
  <si>
    <t xml:space="preserve">CUMMINSIND</t>
  </si>
  <si>
    <t xml:space="preserve">Industrials</t>
  </si>
  <si>
    <t xml:space="preserve">Export orders</t>
  </si>
  <si>
    <t xml:space="preserve">JINDALSTEEL</t>
  </si>
  <si>
    <t xml:space="preserve">Domestic demand</t>
  </si>
  <si>
    <t xml:space="preserve">TRENT</t>
  </si>
  <si>
    <t xml:space="preserve">Retail</t>
  </si>
  <si>
    <t xml:space="preserve">Store expansion</t>
  </si>
  <si>
    <t xml:space="preserve">SONACOMS</t>
  </si>
  <si>
    <t xml:space="preserve">EV components</t>
  </si>
  <si>
    <t xml:space="preserve">DELHIVERY</t>
  </si>
  <si>
    <t xml:space="preserve">Logistics</t>
  </si>
  <si>
    <t xml:space="preserve">Unit economics</t>
  </si>
  <si>
    <t xml:space="preserve">MTARTECH</t>
  </si>
  <si>
    <t xml:space="preserve">Space orders</t>
  </si>
  <si>
    <t xml:space="preserve">AJANTPHARM</t>
  </si>
  <si>
    <t xml:space="preserve">Branded generics</t>
  </si>
  <si>
    <t xml:space="preserve">GLENMARK</t>
  </si>
  <si>
    <t xml:space="preserve">EU filing</t>
  </si>
  <si>
    <t xml:space="preserve">STLTECH</t>
  </si>
  <si>
    <t xml:space="preserve">Fibre rollout</t>
  </si>
  <si>
    <t xml:space="preserve">BHARATFORG</t>
  </si>
  <si>
    <t xml:space="preserve">Defence+Auto</t>
  </si>
  <si>
    <t xml:space="preserve">BEL</t>
  </si>
  <si>
    <t xml:space="preserve">Budget boost</t>
  </si>
  <si>
    <t xml:space="preserve">ABSLMF</t>
  </si>
  <si>
    <t xml:space="preserve">Equity AUM</t>
  </si>
  <si>
    <t xml:space="preserve">BELRISE</t>
  </si>
  <si>
    <t xml:space="preserve">EV suppliers</t>
  </si>
  <si>
    <t xml:space="preserve">THERMAX</t>
  </si>
  <si>
    <t xml:space="preserve">Order wins</t>
  </si>
  <si>
    <t xml:space="preserve">MRPL</t>
  </si>
  <si>
    <t xml:space="preserve">GRM expansion</t>
  </si>
  <si>
    <t xml:space="preserve">GESHIP</t>
  </si>
  <si>
    <t xml:space="preserve">Freight rates</t>
  </si>
  <si>
    <t xml:space="preserve">IOC</t>
  </si>
  <si>
    <t xml:space="preserve">Dividend play</t>
  </si>
  <si>
    <t xml:space="preserve">FORTIS</t>
  </si>
  <si>
    <t xml:space="preserve">Healthcare</t>
  </si>
  <si>
    <t xml:space="preserve">Hospital exp.</t>
  </si>
  <si>
    <t xml:space="preserve">NTPC</t>
  </si>
  <si>
    <t xml:space="preserve">Renewables</t>
  </si>
  <si>
    <t xml:space="preserve">PRECWIRE</t>
  </si>
  <si>
    <t xml:space="preserve">Copper demand</t>
  </si>
  <si>
    <t xml:space="preserve">MAHABANK</t>
  </si>
  <si>
    <t xml:space="preserve">NPA reduction</t>
  </si>
  <si>
    <t xml:space="preserve">COLPAL</t>
  </si>
  <si>
    <t xml:space="preserve">FMCG</t>
  </si>
  <si>
    <t xml:space="preserve">Premium mix</t>
  </si>
  <si>
    <t xml:space="preserve">BANKINDIA</t>
  </si>
  <si>
    <t xml:space="preserve">Loan growth</t>
  </si>
  <si>
    <t xml:space="preserve">TATASTEEL</t>
  </si>
  <si>
    <t xml:space="preserve">EU turnaround</t>
  </si>
  <si>
    <t xml:space="preserve">BAJAJ-AUTO</t>
  </si>
  <si>
    <t xml:space="preserve">Strong volumes</t>
  </si>
  <si>
    <t xml:space="preserve">ASTRAL</t>
  </si>
  <si>
    <t xml:space="preserve">Pipe demand</t>
  </si>
  <si>
    <t xml:space="preserve">CPPLUS</t>
  </si>
  <si>
    <t xml:space="preserve">Security tech</t>
  </si>
  <si>
    <t xml:space="preserve">LGEINDIA</t>
  </si>
  <si>
    <t xml:space="preserve">Premiumisation</t>
  </si>
  <si>
    <t xml:space="preserve">NSDL</t>
  </si>
  <si>
    <t xml:space="preserve">Finance</t>
  </si>
  <si>
    <t xml:space="preserve">Demat growth</t>
  </si>
  <si>
    <t xml:space="preserve">AMAGI</t>
  </si>
  <si>
    <t xml:space="preserve">Media</t>
  </si>
  <si>
    <t xml:space="preserve">Streaming rev.</t>
  </si>
  <si>
    <t xml:space="preserve">SAMMANCAP</t>
  </si>
  <si>
    <t xml:space="preserve">Small-cap play</t>
  </si>
  <si>
    <t xml:space="preserve">ANTELOPUS</t>
  </si>
  <si>
    <t xml:space="preserve">AI tailwind</t>
  </si>
  <si>
    <t xml:space="preserve">TCS</t>
  </si>
  <si>
    <t xml:space="preserve">BFSI ramp-up</t>
  </si>
  <si>
    <t xml:space="preserve">BSE</t>
  </si>
  <si>
    <t xml:space="preserve">Volume surge</t>
  </si>
  <si>
    <t xml:space="preserve">ICICIAMC</t>
  </si>
  <si>
    <t xml:space="preserve">Equity inflows</t>
  </si>
  <si>
    <t xml:space="preserve">OBEROIRLTY</t>
  </si>
  <si>
    <t xml:space="preserve">Realty</t>
  </si>
  <si>
    <t xml:space="preserve">Luxury demand</t>
  </si>
  <si>
    <t xml:space="preserve">RENUKA</t>
  </si>
  <si>
    <t xml:space="preserve">Sugar exports</t>
  </si>
  <si>
    <t xml:space="preserve">JARO</t>
  </si>
  <si>
    <t xml:space="preserve">Education</t>
  </si>
  <si>
    <t xml:space="preserve">Ed-tech growth</t>
  </si>
  <si>
    <t xml:space="preserve">HCLTECH</t>
  </si>
  <si>
    <t xml:space="preserve">Deal ramp-up</t>
  </si>
  <si>
    <t xml:space="preserve">OLA</t>
  </si>
  <si>
    <t xml:space="preserve">EV push</t>
  </si>
  <si>
    <t xml:space="preserve">POLYCAB</t>
  </si>
  <si>
    <t xml:space="preserve">Wiring demand</t>
  </si>
  <si>
    <t xml:space="preserve">IFCI</t>
  </si>
  <si>
    <t xml:space="preserve">PSU NBFC recovery</t>
  </si>
  <si>
    <t xml:space="preserve">CORONA</t>
  </si>
  <si>
    <t xml:space="preserve">DALBHARAT</t>
  </si>
  <si>
    <t xml:space="preserve">Cement</t>
  </si>
  <si>
    <t xml:space="preserve">Infra cycle</t>
  </si>
  <si>
    <t xml:space="preserve">APOLLOTYRE</t>
  </si>
  <si>
    <t xml:space="preserve">Volume recovery</t>
  </si>
  <si>
    <t xml:space="preserve">BIOCON</t>
  </si>
  <si>
    <t xml:space="preserve">Biosimilar ramp</t>
  </si>
  <si>
    <t xml:space="preserve">INDHOTEL</t>
  </si>
  <si>
    <t xml:space="preserve">Hospitality</t>
  </si>
  <si>
    <t xml:space="preserve">Tourism boom</t>
  </si>
  <si>
    <t xml:space="preserve">UNIONBANK</t>
  </si>
  <si>
    <t xml:space="preserve">PSU bank rally</t>
  </si>
  <si>
    <t xml:space="preserve">DMART</t>
  </si>
  <si>
    <t xml:space="preserve">SAMHI</t>
  </si>
  <si>
    <t xml:space="preserve">Hotel expansion</t>
  </si>
  <si>
    <t xml:space="preserve">ARSSBL</t>
  </si>
  <si>
    <t xml:space="preserve">Value buy</t>
  </si>
  <si>
    <t xml:space="preserve">TATATECH</t>
  </si>
  <si>
    <t xml:space="preserve">PLM demand</t>
  </si>
  <si>
    <t xml:space="preserve">NORTHARC</t>
  </si>
  <si>
    <t xml:space="preserve">Credit growth</t>
  </si>
  <si>
    <t xml:space="preserve">MINDTECK</t>
  </si>
  <si>
    <t xml:space="preserve">Tech services</t>
  </si>
  <si>
    <t xml:space="preserve">POONAWALLA</t>
  </si>
  <si>
    <t xml:space="preserve">Consumer lending</t>
  </si>
  <si>
    <t xml:space="preserve">PIRAMALFIN</t>
  </si>
  <si>
    <t xml:space="preserve">AIF growth</t>
  </si>
  <si>
    <t xml:space="preserve">BHEL</t>
  </si>
  <si>
    <t xml:space="preserve">PSU capex</t>
  </si>
  <si>
    <t xml:space="preserve">GRAPHITE</t>
  </si>
  <si>
    <t xml:space="preserve">EV anode demand</t>
  </si>
  <si>
    <t xml:space="preserve">DAMCAPITAL</t>
  </si>
  <si>
    <t xml:space="preserve">IB deal flow</t>
  </si>
  <si>
    <t xml:space="preserve">MAMATA</t>
  </si>
  <si>
    <t xml:space="preserve">Packaging</t>
  </si>
  <si>
    <t xml:space="preserve">Export packaging</t>
  </si>
  <si>
    <t xml:space="preserve">JSL</t>
  </si>
  <si>
    <t xml:space="preserve">SS demand</t>
  </si>
  <si>
    <t xml:space="preserve">PETRONET</t>
  </si>
  <si>
    <t xml:space="preserve">LNG terminal</t>
  </si>
  <si>
    <t xml:space="preserve">HINDZINC</t>
  </si>
  <si>
    <t xml:space="preserve">Zinc upcycle</t>
  </si>
  <si>
    <t xml:space="preserve">MOSCHIP</t>
  </si>
  <si>
    <t xml:space="preserve">Semiconductor</t>
  </si>
  <si>
    <t xml:space="preserve">SWANCORP</t>
  </si>
  <si>
    <t xml:space="preserve">Micro-cap</t>
  </si>
  <si>
    <t xml:space="preserve">PARADEEP</t>
  </si>
  <si>
    <t xml:space="preserve">Fertilisers</t>
  </si>
  <si>
    <t xml:space="preserve">NFL</t>
  </si>
  <si>
    <t xml:space="preserve">Urea demand</t>
  </si>
  <si>
    <t xml:space="preserve">JISLJALEQS</t>
  </si>
  <si>
    <t xml:space="preserve">Agri</t>
  </si>
  <si>
    <t xml:space="preserve">Agri infra</t>
  </si>
  <si>
    <t xml:space="preserve">PNB</t>
  </si>
  <si>
    <t xml:space="preserve">PSU bank</t>
  </si>
  <si>
    <t xml:space="preserve">POLYMED</t>
  </si>
  <si>
    <t xml:space="preserve">Medical devices</t>
  </si>
  <si>
    <t xml:space="preserve">VBL</t>
  </si>
  <si>
    <t xml:space="preserve">Beverage volumes</t>
  </si>
  <si>
    <t xml:space="preserve">PPLPHARMA</t>
  </si>
  <si>
    <t xml:space="preserve">Generic exports</t>
  </si>
  <si>
    <t xml:space="preserve">GRSE</t>
  </si>
  <si>
    <t xml:space="preserve">Naval orders</t>
  </si>
  <si>
    <t xml:space="preserve">YATHARTH</t>
  </si>
  <si>
    <t xml:space="preserve">Hospital growth</t>
  </si>
  <si>
    <t xml:space="preserve">GMRAIRPORT</t>
  </si>
  <si>
    <t xml:space="preserve">Infrastructure</t>
  </si>
  <si>
    <t xml:space="preserve">Aviation infra</t>
  </si>
  <si>
    <t xml:space="preserve">AWL</t>
  </si>
  <si>
    <t xml:space="preserve">Edible oil</t>
  </si>
  <si>
    <t xml:space="preserve">TITAN</t>
  </si>
  <si>
    <t xml:space="preserve">Jewellery demand</t>
  </si>
  <si>
    <t xml:space="preserve">BBTC</t>
  </si>
  <si>
    <t xml:space="preserve">Plantation play</t>
  </si>
  <si>
    <t xml:space="preserve">PVRINOX</t>
  </si>
  <si>
    <t xml:space="preserve">Box office revival</t>
  </si>
  <si>
    <t xml:space="preserve">GRASIM</t>
  </si>
  <si>
    <t xml:space="preserve">Paint + cement</t>
  </si>
  <si>
    <t xml:space="preserve">PRICOLLTD</t>
  </si>
  <si>
    <t xml:space="preserve">Auto Ancillary</t>
  </si>
  <si>
    <t xml:space="preserve">EV content</t>
  </si>
  <si>
    <t xml:space="preserve">RATNAVEER</t>
  </si>
  <si>
    <t xml:space="preserve">SS tubes</t>
  </si>
  <si>
    <t xml:space="preserve">SATIN</t>
  </si>
  <si>
    <t xml:space="preserve">MFI recovery</t>
  </si>
  <si>
    <t xml:space="preserve">PNBHOUSING</t>
  </si>
  <si>
    <t xml:space="preserve">Housing demand</t>
  </si>
  <si>
    <t xml:space="preserve">CREDITACC</t>
  </si>
  <si>
    <t xml:space="preserve">Microfinance</t>
  </si>
  <si>
    <t xml:space="preserve">HINDALCO</t>
  </si>
  <si>
    <t xml:space="preserve">Aluminium upcycle</t>
  </si>
  <si>
    <t xml:space="preserve">UJJIVANSFB</t>
  </si>
  <si>
    <t xml:space="preserve">SFB growth</t>
  </si>
  <si>
    <t xml:space="preserve">JMFINANCIL</t>
  </si>
  <si>
    <t xml:space="preserve">IB &amp; lending</t>
  </si>
  <si>
    <t xml:space="preserve">BHARATWIRE</t>
  </si>
  <si>
    <t xml:space="preserve">Wire demand</t>
  </si>
  <si>
    <t xml:space="preserve">AEROFLEX</t>
  </si>
  <si>
    <t xml:space="preserve">Flexible hose</t>
  </si>
  <si>
    <t xml:space="preserve">JAICORPLTD</t>
  </si>
  <si>
    <t xml:space="preserve">Real Estate</t>
  </si>
  <si>
    <t xml:space="preserve">Land monetisation</t>
  </si>
  <si>
    <t xml:space="preserve">SAGILITY</t>
  </si>
  <si>
    <t xml:space="preserve">Healthcare BPO</t>
  </si>
  <si>
    <t xml:space="preserve">CANFINHOME</t>
  </si>
  <si>
    <t xml:space="preserve">Affordable housing</t>
  </si>
  <si>
    <t xml:space="preserve">ELGIEQUIP</t>
  </si>
  <si>
    <t xml:space="preserve">Compressor demand</t>
  </si>
  <si>
    <t xml:space="preserve">DLINKINDIA</t>
  </si>
  <si>
    <t xml:space="preserve">Network infra</t>
  </si>
  <si>
    <t xml:space="preserve">NBCC</t>
  </si>
  <si>
    <t xml:space="preserve">Govt construction</t>
  </si>
  <si>
    <t xml:space="preserve">NOCIL</t>
  </si>
  <si>
    <t xml:space="preserve">Rubber chemicals</t>
  </si>
  <si>
    <t xml:space="preserve">SHANTIGOLD</t>
  </si>
  <si>
    <t xml:space="preserve">Gold jewellery</t>
  </si>
  <si>
    <t xml:space="preserve">UTKARSHBNK</t>
  </si>
  <si>
    <t xml:space="preserve">SFB expansion</t>
  </si>
  <si>
    <t xml:space="preserve">ASIANTILES</t>
  </si>
  <si>
    <t xml:space="preserve">Real estate linked</t>
  </si>
  <si>
    <t xml:space="preserve">JAMNAAUTO</t>
  </si>
  <si>
    <t xml:space="preserve">CV leaf springs</t>
  </si>
  <si>
    <t xml:space="preserve">📊  PERFORMANCE DASHBOARD  —  Auto-populates from Trade Tracker in real time</t>
  </si>
  <si>
    <t xml:space="preserve">Every number, every %, every trade count — all pulled live from Trade Tracker. Just add trades there and this updates.</t>
  </si>
  <si>
    <t xml:space="preserve">Total Calls</t>
  </si>
  <si>
    <t xml:space="preserve">Wins ✅</t>
  </si>
  <si>
    <t xml:space="preserve">Losses ❌</t>
  </si>
  <si>
    <t xml:space="preserve">Open Trades</t>
  </si>
  <si>
    <t xml:space="preserve">Win Rate</t>
  </si>
  <si>
    <t xml:space="preserve">Avg Win %</t>
  </si>
  <si>
    <t xml:space="preserve">Avg Loss %</t>
  </si>
  <si>
    <t xml:space="preserve">Best Call %</t>
  </si>
  <si>
    <t xml:space="preserve">Worst Loss %</t>
  </si>
  <si>
    <t xml:space="preserve">T3 Hit Rate</t>
  </si>
  <si>
    <t xml:space="preserve">🏆  TOP 10 PERFORMERS  (auto-pulled, sorted by return %)</t>
  </si>
  <si>
    <t xml:space="preserve">🏭  SECTOR BREAKDOWN</t>
  </si>
  <si>
    <t xml:space="preserve">Rank</t>
  </si>
  <si>
    <t xml:space="preserve">Symbol</t>
  </si>
  <si>
    <t xml:space="preserve">Entry Date</t>
  </si>
  <si>
    <t xml:space="preserve">Target</t>
  </si>
  <si>
    <t xml:space="preserve">Return %</t>
  </si>
  <si>
    <t xml:space="preserve">Recs</t>
  </si>
  <si>
    <t xml:space="preserve">🔻  WORST 5 LOSSES  (SL exits only)</t>
  </si>
  <si>
    <t xml:space="preserve">Exit</t>
  </si>
  <si>
    <t xml:space="preserve">Loss %</t>
  </si>
  <si>
    <t xml:space="preserve">📈  JAIN CAPITAL — TRADE TRACKER  |  Live CMP via GOOGLEFINANCE  |  All sheets auto-populate from this tab</t>
  </si>
  <si>
    <t xml:space="preserve">  YELLOW = CMP auto-fetched  |  WIN/LOSS locked permanently  |  Sector &amp; Notes auto-fill via VLOOKUP  |  All dashboards update instantly</t>
  </si>
  <si>
    <t xml:space="preserve">#</t>
  </si>
  <si>
    <t xml:space="preserve">Company</t>
  </si>
  <si>
    <t xml:space="preserve">Rec Date</t>
  </si>
  <si>
    <t xml:space="preserve">Buy Low</t>
  </si>
  <si>
    <t xml:space="preserve">Buy High</t>
  </si>
  <si>
    <t xml:space="preserve">Exch</t>
  </si>
  <si>
    <t xml:space="preserve">Live CMP</t>
  </si>
  <si>
    <t xml:space="preserve">T1 ₹</t>
  </si>
  <si>
    <t xml:space="preserve">T2 ₹</t>
  </si>
  <si>
    <t xml:space="preserve">T3 ₹</t>
  </si>
  <si>
    <t xml:space="preserve">Stop Loss</t>
  </si>
  <si>
    <t xml:space="preserve">Live Status</t>
  </si>
  <si>
    <t xml:space="preserve">Alert</t>
  </si>
  <si>
    <t xml:space="preserve">Result</t>
  </si>
  <si>
    <t xml:space="preserve">% Return</t>
  </si>
  <si>
    <t xml:space="preserve">Best Target</t>
  </si>
  <si>
    <t xml:space="preserve">Days Held</t>
  </si>
  <si>
    <t xml:space="preserve">Sector (Auto)</t>
  </si>
  <si>
    <t xml:space="preserve">Notes (Auto)</t>
  </si>
  <si>
    <t xml:space="preserve">Exit Date</t>
  </si>
  <si>
    <t xml:space="preserve">Exit Price</t>
  </si>
  <si>
    <t xml:space="preserve">HDFC Bank</t>
  </si>
  <si>
    <t xml:space="preserve">16 Sep 2024</t>
  </si>
  <si>
    <t xml:space="preserve">NSE:</t>
  </si>
  <si>
    <t xml:space="preserve">🔴 SL EXIT</t>
  </si>
  <si>
    <t xml:space="preserve">⚠️ SL Exit -2.5%</t>
  </si>
  <si>
    <t xml:space="preserve">LOSS</t>
  </si>
  <si>
    <t xml:space="preserve">SL</t>
  </si>
  <si>
    <t xml:space="preserve">01 Oct 2024</t>
  </si>
  <si>
    <t xml:space="preserve">Infosys</t>
  </si>
  <si>
    <t xml:space="preserve">05 Oct 2024</t>
  </si>
  <si>
    <t xml:space="preserve">⚠️ SL Exit -2.9%</t>
  </si>
  <si>
    <t xml:space="preserve">20 Oct 2024</t>
  </si>
  <si>
    <t xml:space="preserve">Tata Motors</t>
  </si>
  <si>
    <t xml:space="preserve">19 Oct 2024</t>
  </si>
  <si>
    <t xml:space="preserve">⚠️ SL Exit -3.8%</t>
  </si>
  <si>
    <t xml:space="preserve">03 Nov 2024</t>
  </si>
  <si>
    <t xml:space="preserve">Sun Pharma</t>
  </si>
  <si>
    <t xml:space="preserve">30 Oct 2024</t>
  </si>
  <si>
    <t xml:space="preserve">🏆 BOOKED — T1</t>
  </si>
  <si>
    <t xml:space="preserve">✅ Booked T1 +6.0%</t>
  </si>
  <si>
    <t xml:space="preserve">WIN</t>
  </si>
  <si>
    <t xml:space="preserve">T1</t>
  </si>
  <si>
    <t xml:space="preserve">29 Nov 2024</t>
  </si>
  <si>
    <t xml:space="preserve">PNB HOUSING</t>
  </si>
  <si>
    <t xml:space="preserve">23 Oct 2025</t>
  </si>
  <si>
    <t xml:space="preserve">🏆 BOOKED — T3</t>
  </si>
  <si>
    <t xml:space="preserve">✅ Booked T3 +21.0%</t>
  </si>
  <si>
    <t xml:space="preserve">T3</t>
  </si>
  <si>
    <t xml:space="preserve">22 Dec 2025</t>
  </si>
  <si>
    <t xml:space="preserve">CREDIT ACCESS</t>
  </si>
  <si>
    <t xml:space="preserve">24 Oct 2025</t>
  </si>
  <si>
    <t xml:space="preserve">✅ Booked T1 +6.9%</t>
  </si>
  <si>
    <t xml:space="preserve">23 Nov 2025</t>
  </si>
  <si>
    <t xml:space="preserve">✅ Booked T3 +30.5%</t>
  </si>
  <si>
    <t xml:space="preserve">23 Dec 2025</t>
  </si>
  <si>
    <t xml:space="preserve">–</t>
  </si>
  <si>
    <t xml:space="preserve">OPEN</t>
  </si>
  <si>
    <t xml:space="preserve">Open</t>
  </si>
  <si>
    <t xml:space="preserve">SHANTI GOLD</t>
  </si>
  <si>
    <t xml:space="preserve">✅ Booked T1 +12.5%</t>
  </si>
  <si>
    <t xml:space="preserve">UJJIVAN SFB</t>
  </si>
  <si>
    <t xml:space="preserve">27 Oct 2025</t>
  </si>
  <si>
    <t xml:space="preserve">✅ Booked T3 +24.8%</t>
  </si>
  <si>
    <t xml:space="preserve">26 Dec 2025</t>
  </si>
  <si>
    <t xml:space="preserve">JMF</t>
  </si>
  <si>
    <t xml:space="preserve">⚠️ SL Exit -1.2%</t>
  </si>
  <si>
    <t xml:space="preserve">11 Nov 2025</t>
  </si>
  <si>
    <t xml:space="preserve">BHARAT WIRE ROPES</t>
  </si>
  <si>
    <t xml:space="preserve">28 Oct 2025</t>
  </si>
  <si>
    <t xml:space="preserve">🏆 BOOKED — T2</t>
  </si>
  <si>
    <t xml:space="preserve">✅ Booked T2 +25.0%</t>
  </si>
  <si>
    <t xml:space="preserve">T2</t>
  </si>
  <si>
    <t xml:space="preserve">12 Dec 2025</t>
  </si>
  <si>
    <t xml:space="preserve">✅ Booked T3 +136.5%</t>
  </si>
  <si>
    <t xml:space="preserve">27 Dec 2025</t>
  </si>
  <si>
    <t xml:space="preserve">JAICORP</t>
  </si>
  <si>
    <t xml:space="preserve">29 Oct 2025</t>
  </si>
  <si>
    <t xml:space="preserve">⚠️ SL Exit -5.9%</t>
  </si>
  <si>
    <t xml:space="preserve">13 Nov 2025</t>
  </si>
  <si>
    <t xml:space="preserve">CAN FIN HOMES</t>
  </si>
  <si>
    <t xml:space="preserve">ELGI EQUIPMENT</t>
  </si>
  <si>
    <t xml:space="preserve">✅ Booked T2 +14.4%</t>
  </si>
  <si>
    <t xml:space="preserve">13 Dec 2025</t>
  </si>
  <si>
    <t xml:space="preserve">DLINK</t>
  </si>
  <si>
    <t xml:space="preserve">30 Oct 2025</t>
  </si>
  <si>
    <t xml:space="preserve">✅ Booked T1 +5.9%</t>
  </si>
  <si>
    <t xml:space="preserve">29 Nov 2025</t>
  </si>
  <si>
    <t xml:space="preserve">BSE Ltd</t>
  </si>
  <si>
    <t xml:space="preserve">03 Nov 2025</t>
  </si>
  <si>
    <t xml:space="preserve">✅ Booked T3 +56.2%</t>
  </si>
  <si>
    <t xml:space="preserve">02 Jan 2026</t>
  </si>
  <si>
    <t xml:space="preserve">04 Nov 2025</t>
  </si>
  <si>
    <t xml:space="preserve">✅ Booked T1 +19.3%</t>
  </si>
  <si>
    <t xml:space="preserve">04 Dec 2025</t>
  </si>
  <si>
    <t xml:space="preserve">UTKARSH BANK</t>
  </si>
  <si>
    <t xml:space="preserve">07 Nov 2025</t>
  </si>
  <si>
    <t xml:space="preserve">ASIAN TILES </t>
  </si>
  <si>
    <t xml:space="preserve">10 Nov 2025</t>
  </si>
  <si>
    <t xml:space="preserve">✅ Booked T1 +16.7%</t>
  </si>
  <si>
    <t xml:space="preserve">11 Dec 2025</t>
  </si>
  <si>
    <t xml:space="preserve">✅ Booked T3 +40.0%</t>
  </si>
  <si>
    <t xml:space="preserve">10 Jan 2026</t>
  </si>
  <si>
    <t xml:space="preserve">PRICOL</t>
  </si>
  <si>
    <t xml:space="preserve">12 Nov 2025</t>
  </si>
  <si>
    <t xml:space="preserve">✅ Booked T1 +9.1%</t>
  </si>
  <si>
    <t xml:space="preserve">JAMNA AUTO</t>
  </si>
  <si>
    <t xml:space="preserve">14 Nov 2025</t>
  </si>
  <si>
    <t xml:space="preserve">✅ Booked T3 +45.6%</t>
  </si>
  <si>
    <t xml:space="preserve">13 Jan 2026</t>
  </si>
  <si>
    <t xml:space="preserve">PVR</t>
  </si>
  <si>
    <t xml:space="preserve">17 Nov 2025</t>
  </si>
  <si>
    <t xml:space="preserve">✅ Booked T2 +7.3%</t>
  </si>
  <si>
    <t xml:space="preserve">01 Jan 2026</t>
  </si>
  <si>
    <t xml:space="preserve">18 Nov 2025</t>
  </si>
  <si>
    <t xml:space="preserve">✅ Booked T3 +18.4%</t>
  </si>
  <si>
    <t xml:space="preserve">17 Jan 2026</t>
  </si>
  <si>
    <t xml:space="preserve">⚠️ SL Exit -11.1%</t>
  </si>
  <si>
    <t xml:space="preserve">03 Dec 2025</t>
  </si>
  <si>
    <t xml:space="preserve">19 Nov 2025</t>
  </si>
  <si>
    <t xml:space="preserve">⚠️ SL Exit -3.7%</t>
  </si>
  <si>
    <t xml:space="preserve">24 Nov 2025</t>
  </si>
  <si>
    <t xml:space="preserve">🏆 BOOKED — T4</t>
  </si>
  <si>
    <t xml:space="preserve">✅ Booked T4 +0.0%</t>
  </si>
  <si>
    <t xml:space="preserve">T4</t>
  </si>
  <si>
    <t xml:space="preserve">29 Dec 2025</t>
  </si>
  <si>
    <t xml:space="preserve">✅ Booked T1 +30.8%</t>
  </si>
  <si>
    <t xml:space="preserve">24 Dec 2025</t>
  </si>
  <si>
    <t xml:space="preserve">GMR AIRPORTS</t>
  </si>
  <si>
    <t xml:space="preserve">✅ Booked T1 +11.7%</t>
  </si>
  <si>
    <t xml:space="preserve">27 Nov 2025</t>
  </si>
  <si>
    <t xml:space="preserve">✅ Booked T1 +7.1%</t>
  </si>
  <si>
    <t xml:space="preserve">PPL PHARMA</t>
  </si>
  <si>
    <t xml:space="preserve">28 Nov 2025</t>
  </si>
  <si>
    <t xml:space="preserve">01 Dec 2025</t>
  </si>
  <si>
    <t xml:space="preserve">✅ Booked T1 +4.2%</t>
  </si>
  <si>
    <t xml:space="preserve">31 Dec 2025</t>
  </si>
  <si>
    <t xml:space="preserve">10 Dec 2025</t>
  </si>
  <si>
    <t xml:space="preserve">⚠️ SL Exit -3.5%</t>
  </si>
  <si>
    <t xml:space="preserve">25 Dec 2025</t>
  </si>
  <si>
    <t xml:space="preserve">⚠️ SL Exit -4.1%</t>
  </si>
  <si>
    <t xml:space="preserve">15 Dec 2025</t>
  </si>
  <si>
    <t xml:space="preserve">⚠️ SL Exit -3.3%</t>
  </si>
  <si>
    <t xml:space="preserve">30 Dec 2025</t>
  </si>
  <si>
    <t xml:space="preserve">JAIN IRRIGATION</t>
  </si>
  <si>
    <t xml:space="preserve">⚠️ SL Exit -5.0%</t>
  </si>
  <si>
    <t xml:space="preserve">HINDZNC</t>
  </si>
  <si>
    <t xml:space="preserve">18 Dec 2025</t>
  </si>
  <si>
    <t xml:space="preserve">✅ Booked T2 +21.7%</t>
  </si>
  <si>
    <t xml:space="preserve">01 Feb 2026</t>
  </si>
  <si>
    <t xml:space="preserve">⚠️ SL Exit -5.3%</t>
  </si>
  <si>
    <t xml:space="preserve">07 Jan 2026</t>
  </si>
  <si>
    <t xml:space="preserve">✅ Booked T1 +15.0%</t>
  </si>
  <si>
    <t xml:space="preserve">23 Jan 2026</t>
  </si>
  <si>
    <t xml:space="preserve">28 Dec 2025</t>
  </si>
  <si>
    <t xml:space="preserve">JINDAL STAINLESS</t>
  </si>
  <si>
    <t xml:space="preserve">⚠️ SL Exit -5.5%</t>
  </si>
  <si>
    <t xml:space="preserve">14 Jan 2026</t>
  </si>
  <si>
    <t xml:space="preserve">⚠️ SL Exit -3.4%</t>
  </si>
  <si>
    <t xml:space="preserve">16 Jan 2026</t>
  </si>
  <si>
    <t xml:space="preserve">✅ Booked T3 +37.9%</t>
  </si>
  <si>
    <t xml:space="preserve">03 Mar 2026</t>
  </si>
  <si>
    <t xml:space="preserve">GRAPHITE INDIA</t>
  </si>
  <si>
    <t xml:space="preserve">✅ Booked T3 +25.0%</t>
  </si>
  <si>
    <t xml:space="preserve">Reliance Industries</t>
  </si>
  <si>
    <t xml:space="preserve">05 Jan 2026</t>
  </si>
  <si>
    <t xml:space="preserve">⚠️ SL Exit -1.6%</t>
  </si>
  <si>
    <t xml:space="preserve">20 Jan 2026</t>
  </si>
  <si>
    <t xml:space="preserve">NORTHERN ARC</t>
  </si>
  <si>
    <t xml:space="preserve">06 Jan 2026</t>
  </si>
  <si>
    <t xml:space="preserve">⚠️ SL Exit 4.5%</t>
  </si>
  <si>
    <t xml:space="preserve">21 Jan 2026</t>
  </si>
  <si>
    <t xml:space="preserve">PIRAMAL FINANCE</t>
  </si>
  <si>
    <t xml:space="preserve">✅ Booked T3 +17.0%</t>
  </si>
  <si>
    <t xml:space="preserve">07 Mar 2026</t>
  </si>
  <si>
    <t xml:space="preserve">22 Jan 2026</t>
  </si>
  <si>
    <t xml:space="preserve">⚠️ SL Exit -3.1%</t>
  </si>
  <si>
    <t xml:space="preserve">TATA TECH</t>
  </si>
  <si>
    <t xml:space="preserve">Tata Steel</t>
  </si>
  <si>
    <t xml:space="preserve">✅ Booked T1 +8.1%</t>
  </si>
  <si>
    <t xml:space="preserve">13 Feb 2026</t>
  </si>
  <si>
    <t xml:space="preserve">✅ Booked T2 +11.8%</t>
  </si>
  <si>
    <t xml:space="preserve">28 Feb 2026</t>
  </si>
  <si>
    <t xml:space="preserve">Bajaj Auto</t>
  </si>
  <si>
    <t xml:space="preserve">✅ Booked T2 +9.4%</t>
  </si>
  <si>
    <t xml:space="preserve">ICICI Prud. AMC</t>
  </si>
  <si>
    <t xml:space="preserve">✅ Booked T3 +33.3%</t>
  </si>
  <si>
    <t xml:space="preserve">17 Mar 2026</t>
  </si>
  <si>
    <t xml:space="preserve">Polycab India</t>
  </si>
  <si>
    <t xml:space="preserve">✅ Booked T3 +6.2%</t>
  </si>
  <si>
    <t xml:space="preserve">IFCI </t>
  </si>
  <si>
    <t xml:space="preserve">✅ Booked T2 +28.8%</t>
  </si>
  <si>
    <t xml:space="preserve">02 Mar 2026</t>
  </si>
  <si>
    <t xml:space="preserve">✅ Booked T3 +22.6%</t>
  </si>
  <si>
    <t xml:space="preserve">DALMIA BHARAT</t>
  </si>
  <si>
    <t xml:space="preserve">⚠️ SL Exit -6.3%</t>
  </si>
  <si>
    <t xml:space="preserve">31 Jan 2026</t>
  </si>
  <si>
    <t xml:space="preserve">APOLLO TYRES</t>
  </si>
  <si>
    <t xml:space="preserve">INDIAN HOTELS</t>
  </si>
  <si>
    <t xml:space="preserve">UNION BANK</t>
  </si>
  <si>
    <t xml:space="preserve">✅ Booked T3 +29.0%</t>
  </si>
  <si>
    <t xml:space="preserve">✅ Booked T1 +3.4%</t>
  </si>
  <si>
    <t xml:space="preserve">19 Feb 2026</t>
  </si>
  <si>
    <t xml:space="preserve">Colgate-Palmolive</t>
  </si>
  <si>
    <t xml:space="preserve">25 Jan 2026</t>
  </si>
  <si>
    <t xml:space="preserve">Bank of India</t>
  </si>
  <si>
    <t xml:space="preserve">⚠️ SL Exit -10.7%</t>
  </si>
  <si>
    <t xml:space="preserve">09 Feb 2026</t>
  </si>
  <si>
    <t xml:space="preserve">✅ Booked T3 +17.3%</t>
  </si>
  <si>
    <t xml:space="preserve">26 Mar 2026</t>
  </si>
  <si>
    <t xml:space="preserve">Astral Ltd</t>
  </si>
  <si>
    <t xml:space="preserve">✅ Booked T3 +20.6%</t>
  </si>
  <si>
    <t xml:space="preserve">Maharashtra Bank</t>
  </si>
  <si>
    <t xml:space="preserve">26 Jan 2026</t>
  </si>
  <si>
    <t xml:space="preserve">✅ Booked T1 +25.0%</t>
  </si>
  <si>
    <t xml:space="preserve">25 Feb 2026</t>
  </si>
  <si>
    <t xml:space="preserve">Precision Wires</t>
  </si>
  <si>
    <t xml:space="preserve">27 Jan 2026</t>
  </si>
  <si>
    <t xml:space="preserve">✅ Booked T3 +49.1%</t>
  </si>
  <si>
    <t xml:space="preserve">28 Mar 2026</t>
  </si>
  <si>
    <t xml:space="preserve">Fortis Healthcare</t>
  </si>
  <si>
    <t xml:space="preserve">28 Jan 2026</t>
  </si>
  <si>
    <t xml:space="preserve">✅ Booked T3 +9.6%</t>
  </si>
  <si>
    <t xml:space="preserve">29 Mar 2026</t>
  </si>
  <si>
    <t xml:space="preserve">Indian Oil Corp</t>
  </si>
  <si>
    <t xml:space="preserve">30 Jan 2026</t>
  </si>
  <si>
    <t xml:space="preserve">14 Feb 2026</t>
  </si>
  <si>
    <t xml:space="preserve">MTAR Technologies</t>
  </si>
  <si>
    <t xml:space="preserve">✅ Booked T3 +165.3%</t>
  </si>
  <si>
    <t xml:space="preserve">02 Apr 2026</t>
  </si>
  <si>
    <t xml:space="preserve">Aditya Infotech</t>
  </si>
  <si>
    <t xml:space="preserve">04 Feb 2026</t>
  </si>
  <si>
    <t xml:space="preserve">✅ Booked T3 +8.8%</t>
  </si>
  <si>
    <t xml:space="preserve">05 Apr 2026</t>
  </si>
  <si>
    <t xml:space="preserve">LG Electronics</t>
  </si>
  <si>
    <t xml:space="preserve">07 Feb 2026</t>
  </si>
  <si>
    <t xml:space="preserve">✅ Booked T2 +7.2%</t>
  </si>
  <si>
    <t xml:space="preserve">24 Mar 2026</t>
  </si>
  <si>
    <t xml:space="preserve">✅ Booked T2 +10.0%</t>
  </si>
  <si>
    <t xml:space="preserve">Amagi Media</t>
  </si>
  <si>
    <t xml:space="preserve">✅ Booked T3 +10.4%</t>
  </si>
  <si>
    <t xml:space="preserve">08 Apr 2026</t>
  </si>
  <si>
    <t xml:space="preserve">STL Tech</t>
  </si>
  <si>
    <t xml:space="preserve">08 Feb 2026</t>
  </si>
  <si>
    <t xml:space="preserve">✅ Booked T3 +78.8%</t>
  </si>
  <si>
    <t xml:space="preserve">09 Apr 2026</t>
  </si>
  <si>
    <t xml:space="preserve">Bharat Forge</t>
  </si>
  <si>
    <t xml:space="preserve">✅ Booked T1 +16.3%</t>
  </si>
  <si>
    <t xml:space="preserve">10 Mar 2026</t>
  </si>
  <si>
    <t xml:space="preserve">ABSL AMC</t>
  </si>
  <si>
    <t xml:space="preserve">✅ Booked T1 +15.6%</t>
  </si>
  <si>
    <t xml:space="preserve">Belrise Industries</t>
  </si>
  <si>
    <t xml:space="preserve">✅ Booked T3 +21.7%</t>
  </si>
  <si>
    <t xml:space="preserve">Thermax</t>
  </si>
  <si>
    <t xml:space="preserve">✅ Booked T3 +32.6%</t>
  </si>
  <si>
    <t xml:space="preserve">⚠️ SL Exit -7.0%</t>
  </si>
  <si>
    <t xml:space="preserve">23 Feb 2026</t>
  </si>
  <si>
    <t xml:space="preserve">GE Shipping</t>
  </si>
  <si>
    <t xml:space="preserve">✅ Booked T3 +18.8%</t>
  </si>
  <si>
    <t xml:space="preserve">Glenmark Pharma</t>
  </si>
  <si>
    <t xml:space="preserve">✅ Booked T1 +15.1%</t>
  </si>
  <si>
    <t xml:space="preserve">11 Mar 2026</t>
  </si>
  <si>
    <t xml:space="preserve">Ajanta Pharma</t>
  </si>
  <si>
    <t xml:space="preserve">10 Feb 2026</t>
  </si>
  <si>
    <t xml:space="preserve">Samman Capital</t>
  </si>
  <si>
    <t xml:space="preserve">✅ Booked T2 +11.5%</t>
  </si>
  <si>
    <t xml:space="preserve">27 Mar 2026</t>
  </si>
  <si>
    <t xml:space="preserve">Antelopus</t>
  </si>
  <si>
    <t xml:space="preserve">12 Feb 2026</t>
  </si>
  <si>
    <t xml:space="preserve">✅ Booked T3 +20.7%</t>
  </si>
  <si>
    <t xml:space="preserve">13 Apr 2026</t>
  </si>
  <si>
    <t xml:space="preserve">16 Feb 2026</t>
  </si>
  <si>
    <t xml:space="preserve">✅ Booked T3 +10.3%</t>
  </si>
  <si>
    <t xml:space="preserve">17 Apr 2026</t>
  </si>
  <si>
    <t xml:space="preserve">✅ Booked T3 +15.8%</t>
  </si>
  <si>
    <t xml:space="preserve">✅ Booked T1 +5.3%</t>
  </si>
  <si>
    <t xml:space="preserve">21 Mar 2026</t>
  </si>
  <si>
    <t xml:space="preserve">20 Feb 2026</t>
  </si>
  <si>
    <t xml:space="preserve">✅ Booked T1 +30.0%</t>
  </si>
  <si>
    <t xml:space="preserve">22 Mar 2026</t>
  </si>
  <si>
    <t xml:space="preserve">Jindal Steel (B2)</t>
  </si>
  <si>
    <t xml:space="preserve">✅ Booked T3 +15.2%</t>
  </si>
  <si>
    <t xml:space="preserve">24 Apr 2026</t>
  </si>
  <si>
    <t xml:space="preserve">Oberoi Realty</t>
  </si>
  <si>
    <t xml:space="preserve">✅ Booked T3 +17.2%</t>
  </si>
  <si>
    <t xml:space="preserve">Renuka Sugars</t>
  </si>
  <si>
    <t xml:space="preserve">✅ Booked T3 +73.9%</t>
  </si>
  <si>
    <t xml:space="preserve">HCL Technologies</t>
  </si>
  <si>
    <t xml:space="preserve">27 Feb 2026</t>
  </si>
  <si>
    <t xml:space="preserve">✅ Booked T1 +5.1%</t>
  </si>
  <si>
    <t xml:space="preserve">Ola Electric</t>
  </si>
  <si>
    <t xml:space="preserve">✅ Booked T3 +21.2%</t>
  </si>
  <si>
    <t xml:space="preserve">28 Apr 2026</t>
  </si>
  <si>
    <t xml:space="preserve">JARO Education</t>
  </si>
  <si>
    <t xml:space="preserve">01 Mar 2026</t>
  </si>
  <si>
    <t xml:space="preserve">✅ Booked T1 +33.3%</t>
  </si>
  <si>
    <t xml:space="preserve">31 Mar 2026</t>
  </si>
  <si>
    <t xml:space="preserve">Cochin Shipyard</t>
  </si>
  <si>
    <t xml:space="preserve">✅ Booked T2 +37.5%</t>
  </si>
  <si>
    <t xml:space="preserve">16 Apr 2026</t>
  </si>
  <si>
    <t xml:space="preserve">Chambal Fertilisers</t>
  </si>
  <si>
    <t xml:space="preserve">Jindal Steel</t>
  </si>
  <si>
    <t xml:space="preserve">01 Apr 2026</t>
  </si>
  <si>
    <t xml:space="preserve">Praj Industries</t>
  </si>
  <si>
    <t xml:space="preserve">05 Mar 2026</t>
  </si>
  <si>
    <t xml:space="preserve">04 Apr 2026</t>
  </si>
  <si>
    <t xml:space="preserve">Angel One</t>
  </si>
  <si>
    <t xml:space="preserve">06 Mar 2026</t>
  </si>
  <si>
    <t xml:space="preserve">✅ Booked T2 +30.0%</t>
  </si>
  <si>
    <t xml:space="preserve">20 Apr 2026</t>
  </si>
  <si>
    <t xml:space="preserve">Natco Pharma</t>
  </si>
  <si>
    <t xml:space="preserve">08 Mar 2026</t>
  </si>
  <si>
    <t xml:space="preserve">07 Apr 2026</t>
  </si>
  <si>
    <t xml:space="preserve">NMDC Ltd</t>
  </si>
  <si>
    <t xml:space="preserve">09 Mar 2026</t>
  </si>
  <si>
    <t xml:space="preserve">✅ Booked T2 +8.4%</t>
  </si>
  <si>
    <t xml:space="preserve">23 Apr 2026</t>
  </si>
  <si>
    <t xml:space="preserve">✅ Booked T1 +13.9%</t>
  </si>
  <si>
    <t xml:space="preserve">Delhivery</t>
  </si>
  <si>
    <t xml:space="preserve">✅ Booked T1 +11.1%</t>
  </si>
  <si>
    <t xml:space="preserve">REC Limited</t>
  </si>
  <si>
    <t xml:space="preserve">10 Apr 2026</t>
  </si>
  <si>
    <t xml:space="preserve">Cummins India</t>
  </si>
  <si>
    <t xml:space="preserve">✅ Booked T1 +14.6%</t>
  </si>
  <si>
    <t xml:space="preserve">Trent</t>
  </si>
  <si>
    <t xml:space="preserve">Sona BLW Precision</t>
  </si>
  <si>
    <t xml:space="preserve">✅ Booked T2 +13.2%</t>
  </si>
  <si>
    <t xml:space="preserve">25 Apr 2026</t>
  </si>
  <si>
    <t xml:space="preserve">Data Patterns</t>
  </si>
  <si>
    <t xml:space="preserve">18 Mar 2026</t>
  </si>
  <si>
    <t xml:space="preserve">✅ Booked T1 +17.6%</t>
  </si>
  <si>
    <t xml:space="preserve">Laurus Labs</t>
  </si>
  <si>
    <t xml:space="preserve">20 Mar 2026</t>
  </si>
  <si>
    <t xml:space="preserve">Chennai Petro</t>
  </si>
  <si>
    <t xml:space="preserve">✅ Booked T1 +20.0%</t>
  </si>
  <si>
    <t xml:space="preserve">UTI AMC</t>
  </si>
  <si>
    <t xml:space="preserve">Apollo Micro Systems</t>
  </si>
  <si>
    <t xml:space="preserve">✅ Booked T1 +15.8%</t>
  </si>
  <si>
    <t xml:space="preserve">21 Apr 2026</t>
  </si>
  <si>
    <t xml:space="preserve">Birla Cable</t>
  </si>
  <si>
    <t xml:space="preserve">23 Mar 2026</t>
  </si>
  <si>
    <t xml:space="preserve">Meesho</t>
  </si>
  <si>
    <t xml:space="preserve">08 May 2026</t>
  </si>
  <si>
    <t xml:space="preserve">✅ Booked T1 +10.3%</t>
  </si>
  <si>
    <t xml:space="preserve">26 Apr 2026</t>
  </si>
  <si>
    <t xml:space="preserve">JP Power</t>
  </si>
  <si>
    <t xml:space="preserve">✅ Booked T3 +114.3%</t>
  </si>
  <si>
    <t xml:space="preserve">31 May 2026</t>
  </si>
  <si>
    <t xml:space="preserve">Adani Energy Solution</t>
  </si>
  <si>
    <t xml:space="preserve">← Add ticker</t>
  </si>
  <si>
    <t xml:space="preserve">🔔  LIVE ALERT BOARD  —  Open trades only · Status auto-updates · Prices live via GOOGLEFINANCE</t>
  </si>
  <si>
    <t xml:space="preserve">This sheet shows ONLY active open trades. All data auto-pulled from Trade Tracker. Never edit this sheet manually.</t>
  </si>
  <si>
    <t xml:space="preserve">🟡  24 ACTIVE OPEN TRADES  —  Awaiting target or SL</t>
  </si>
  <si>
    <t xml:space="preserve">Entry ₹</t>
  </si>
  <si>
    <t xml:space="preserve">SL ₹</t>
  </si>
  <si>
    <t xml:space="preserve">🏭  SECTOR ANALYSIS  —  All figures auto-pull from Trade Tracker</t>
  </si>
  <si>
    <t xml:space="preserve">Total</t>
  </si>
  <si>
    <t xml:space="preserve">Wins</t>
  </si>
  <si>
    <t xml:space="preserve">Losses</t>
  </si>
  <si>
    <t xml:space="preserve">Best Trade</t>
  </si>
  <si>
    <t xml:space="preserve">TOTAL</t>
  </si>
  <si>
    <t xml:space="preserve">📋  COMPLETE SETUP GUIDE — How everything works &amp; how to keep it live</t>
  </si>
  <si>
    <t xml:space="preserve">HOW TO ADD A NEW TRADE</t>
  </si>
  <si>
    <t xml:space="preserve">1. Go to Trade Tracker tab → scroll to bottom → find blank row with '← Add ticker'</t>
  </si>
  <si>
    <t xml:space="preserve">2. Col B: Type NSE ticker EXACTLY (e.g. TATAMOTORS, RELIANCE, HDFCBANK)</t>
  </si>
  <si>
    <t xml:space="preserve">3. Col S (Sector) &amp; Col T (Notes) will AUTO-FILL via VLOOKUP from SectorMap sheet</t>
  </si>
  <si>
    <t xml:space="preserve">4. Col H (CMP) will AUTO-FETCH live price via GOOGLEFINANCE — no manual entry needed</t>
  </si>
  <si>
    <t xml:space="preserve">5. Fill: Rec Date (DD Mon YYYY), Buy Low, Buy High, T1, T2, T3, Stop Loss</t>
  </si>
  <si>
    <t xml:space="preserve">6. Leave Result as OPEN — Col M status auto-updates with live price</t>
  </si>
  <si>
    <t xml:space="preserve">HOW TO BOOK A TRADE (when target hit)</t>
  </si>
  <si>
    <t xml:space="preserve">1. Change Col O (Result) from OPEN → WIN</t>
  </si>
  <si>
    <t xml:space="preserve">2. Change Col Q (Best Target) to T1 / T2 / T3 (whichever was hit)</t>
  </si>
  <si>
    <t xml:space="preserve">3. The % return auto-locks based on the target price — never changes again</t>
  </si>
  <si>
    <t xml:space="preserve">4. All dashboards (Performance, Sector, Portfolio) instantly update</t>
  </si>
  <si>
    <t xml:space="preserve">HOW TO CLOSE A LOSS (when SL hit)</t>
  </si>
  <si>
    <t xml:space="preserve">1. Change Col O (Result) from OPEN → LOSS</t>
  </si>
  <si>
    <t xml:space="preserve">2. Change Col Q (Best Target) to SL</t>
  </si>
  <si>
    <t xml:space="preserve">3. % return auto-calculates as (SL - Entry) / Entry — capped at SL price</t>
  </si>
  <si>
    <t xml:space="preserve">HOW TO KEEP THE WEBSITE LIVE &amp; AUTO-UPDATING (READ THIS)</t>
  </si>
  <si>
    <t xml:space="preserve">OPTION A — GitHub + Netlify (Recommended, Free, ~2 min to deploy):</t>
  </si>
  <si>
    <t xml:space="preserve">  1. Go to github.com → sign in → New repository → name: jaincapital → Public</t>
  </si>
  <si>
    <t xml:space="preserve">  2. Click 'Add file' → Upload files → drag your index.html → Commit changes</t>
  </si>
  <si>
    <t xml:space="preserve">  3. Go to app.netlify.com → Add new site → Import from Git → GitHub → jaincapital</t>
  </si>
  <si>
    <t xml:space="preserve">  4. Click Deploy — your site goes live at jaincapital.netlify.app</t>
  </si>
  <si>
    <t xml:space="preserve">  5. To UPDATE: go to github.com/YOUR_USER/jaincapital → click index.html → Edit (pencil icon)</t>
  </si>
  <si>
    <t xml:space="preserve">     OR drag new index.html → Commit → Netlify auto-deploys in 30 seconds</t>
  </si>
  <si>
    <t xml:space="preserve">OPTION B — Google Sheets → Website (Zero re-uploads needed, fully automated):</t>
  </si>
  <si>
    <t xml:space="preserve">  1. Import this Excel to Google Sheets (File → Import)</t>
  </si>
  <si>
    <t xml:space="preserve">  2. In Google Sheets: Extensions → Apps Script → paste the script from Sheet 'Apps Script Code'</t>
  </si>
  <si>
    <t xml:space="preserve">  3. Run the script once → it publishes a JSON URL of your trades</t>
  </si>
  <si>
    <t xml:space="preserve">  4. Paste that URL into index.html where it says GOOGLE_SHEETS_JSON_URL</t>
  </si>
  <si>
    <t xml:space="preserve">  5. Now whenever you update Google Sheets, website auto-refreshes within 60 seconds</t>
  </si>
  <si>
    <t xml:space="preserve">HOW TO ADD/REMOVE FILES ON GITHUB (without creating a new site):</t>
  </si>
  <si>
    <t xml:space="preserve">  ADD: go to github.com → your repo → Add file → Upload → drag file → Commit</t>
  </si>
  <si>
    <t xml:space="preserve">  UPDATE: click the file → Edit (pencil) → make changes → Commit (OR upload new version)</t>
  </si>
  <si>
    <t xml:space="preserve">  DELETE: click the file → 3 dots menu → Delete file → Commit</t>
  </si>
  <si>
    <t xml:space="preserve">  Netlify redeploys AUTOMATICALLY on every commit. No manual trigger needed.</t>
  </si>
  <si>
    <t xml:space="preserve">PASSWORD MANAGEMENT (for client access to live trades):</t>
  </si>
  <si>
    <t xml:space="preserve">  Open index.html in any text editor → find: const CLIENT_PASSWORDS = {</t>
  </si>
  <si>
    <t xml:space="preserve">  ADD client: add a new line: 'theirpassword': 'Client Name',</t>
  </si>
  <si>
    <t xml:space="preserve">  REMOVE client: delete their line → redeploy → they lose access instantly</t>
  </si>
  <si>
    <t xml:space="preserve">  Change admin password: find ADMIN_PASSWORD = and change the value</t>
  </si>
  <si>
    <t xml:space="preserve">💰  PORTFOLIO SIMULATOR  —  ₹10L invested, 5% per trade (compounds)</t>
  </si>
  <si>
    <t xml:space="preserve">Initial</t>
  </si>
  <si>
    <t xml:space="preserve">Final Value</t>
  </si>
  <si>
    <t xml:space="preserve">Our Return</t>
  </si>
  <si>
    <t xml:space="preserve">Nifty Same Period</t>
  </si>
  <si>
    <t xml:space="preserve">Extra vs Nifty</t>
  </si>
  <si>
    <t xml:space="preserve">₹1,000,000</t>
  </si>
  <si>
    <t xml:space="preserve">₹2,565,184</t>
  </si>
  <si>
    <t xml:space="preserve">+156.5%</t>
  </si>
  <si>
    <t xml:space="preserve">-4.2%</t>
  </si>
  <si>
    <t xml:space="preserve">₹1,607,672</t>
  </si>
  <si>
    <t xml:space="preserve">77.1%</t>
  </si>
  <si>
    <t xml:space="preserve">Month</t>
  </si>
  <si>
    <t xml:space="preserve">Our Portfolio</t>
  </si>
  <si>
    <t xml:space="preserve">Nifty 50</t>
  </si>
  <si>
    <t xml:space="preserve">Our Return %</t>
  </si>
  <si>
    <t xml:space="preserve">Nifty Return %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</si>
  <si>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</si>
  <si>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</si>
  <si>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</si>
  <si>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</si>
  <si>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</si>
  <si>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</si>
  <si>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</si>
  <si>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</si>
  <si>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</si>
  <si>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</si>
  <si>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</si>
  <si>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</si>
  <si>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</si>
  <si>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</si>
  <si>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</si>
  <si>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</si>
  <si>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</si>
  <si>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</si>
  <si>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</si>
  <si>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</si>
  <si>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</si>
  <si>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📜  APPS SCRIPT — Paste this in Google Sheets → Extensions → Apps Script → Run once</t>
  </si>
  <si>
    <t xml:space="preserve">// JAIN CAPITAL — Google Apps Script</t>
  </si>
  <si>
    <t xml:space="preserve">// Paste this entire script in: Google Sheets → Extensions → Apps Script → Save → Run deployAsWebApp()</t>
  </si>
  <si>
    <t xml:space="preserve">// This publishes your Trade Tracker as a live JSON that the website reads</t>
  </si>
  <si>
    <t xml:space="preserve">function doGet(e) {</t>
  </si>
  <si>
    <t xml:space="preserve">  var ss = SpreadsheetApp.getActiveSpreadsheet();</t>
  </si>
  <si>
    <t xml:space="preserve">  var ws = ss.getSheetByName('Trade Tracker');</t>
  </si>
  <si>
    <t xml:space="preserve">  var data = ws.getDataRange().getValues();</t>
  </si>
  <si>
    <t xml:space="preserve">  var headers = data[3]; // Row 4 = headers</t>
  </si>
  <si>
    <t xml:space="preserve">  var trades = [];</t>
  </si>
  <si>
    <t xml:space="preserve">  for (var i = 4; i &lt; data.length; i++) {</t>
  </si>
  <si>
    <t xml:space="preserve">    var row = data[i];</t>
  </si>
  <si>
    <t xml:space="preserve">    if (!row[1] || row[1] === '' || row[1] === '← Add ticker') continue;</t>
  </si>
  <si>
    <t xml:space="preserve">    var trade = {};</t>
  </si>
  <si>
    <t xml:space="preserve">    for (var j = 0; j &lt; headers.length; j++) {</t>
  </si>
  <si>
    <t xml:space="preserve">      trade[headers[j] || 'col_'+j] = row[j];</t>
  </si>
  <si>
    <t xml:space="preserve">    }</t>
  </si>
  <si>
    <t xml:space="preserve">    trades.push(trade);</t>
  </si>
  <si>
    <t xml:space="preserve">  }</t>
  </si>
  <si>
    <t xml:space="preserve">  var result = JSON.stringify({</t>
  </si>
  <si>
    <t xml:space="preserve">    trades: trades,</t>
  </si>
  <si>
    <t xml:space="preserve">    updated: new Date().toISOString(),</t>
  </si>
  <si>
    <t xml:space="preserve">    total: trades.length</t>
  </si>
  <si>
    <t xml:space="preserve">  });</t>
  </si>
  <si>
    <t xml:space="preserve">  return ContentService.createTextOutput(result).setMimeType(ContentService.MimeType.JSON);</t>
  </si>
  <si>
    <t xml:space="preserve">}</t>
  </si>
  <si>
    <t xml:space="preserve">// DEPLOY STEPS:</t>
  </si>
  <si>
    <t xml:space="preserve">// 1. Click Deploy → New deployment → Type: Web App</t>
  </si>
  <si>
    <t xml:space="preserve">// 2. Execute as: Me | Who has access: Anyone</t>
  </si>
  <si>
    <t xml:space="preserve">// 3. Click Deploy → Copy the Web App URL</t>
  </si>
  <si>
    <t xml:space="preserve">// 4. Paste that URL in index.html where you see: GOOGLE_SHEETS_JSON_URL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</si>
</sst>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@"/>
    <numFmt numFmtId="168" formatCode="#,##0.00"/>
    <numFmt numFmtId="169" formatCode="#,##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1252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8"/>
      <color rgb="FF6C757D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8"/>
      <color rgb="FF1A2F5A"/>
      <name val="Calibri"/>
      <family val="0"/>
      <charset val="1"/>
    </font>
    <font>
      <b val="true"/>
      <sz val="18"/>
      <color rgb="FF1A6B3C"/>
      <name val="Calibri"/>
      <family val="0"/>
      <charset val="1"/>
    </font>
    <font>
      <b val="true"/>
      <sz val="18"/>
      <color rgb="FFC0392B"/>
      <name val="Calibri"/>
      <family val="0"/>
      <charset val="1"/>
    </font>
    <font>
      <b val="true"/>
      <sz val="18"/>
      <color rgb="FF0B6E8A"/>
      <name val="Calibri"/>
      <family val="0"/>
      <charset val="1"/>
    </font>
    <font>
      <b val="true"/>
      <sz val="18"/>
      <color rgb="FFB8960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A2F5A"/>
      <name val="Calibri"/>
      <family val="0"/>
      <charset val="1"/>
    </font>
    <font>
      <sz val="9"/>
      <color rgb="FF1A2F5A"/>
      <name val="Calibri"/>
      <family val="0"/>
      <charset val="1"/>
    </font>
    <font>
      <sz val="9"/>
      <color rgb="FF212529"/>
      <name val="Calibri"/>
      <family val="0"/>
      <charset val="1"/>
    </font>
    <font>
      <b val="true"/>
      <sz val="9"/>
      <color rgb="FF1A6B3C"/>
      <name val="Calibri"/>
      <family val="0"/>
      <charset val="1"/>
    </font>
    <font>
      <b val="true"/>
      <sz val="8"/>
      <color rgb="FF1A2F5A"/>
      <name val="Calibri"/>
      <family val="0"/>
      <charset val="1"/>
    </font>
    <font>
      <sz val="8"/>
      <color rgb="FF212529"/>
      <name val="Calibri"/>
      <family val="0"/>
      <charset val="1"/>
    </font>
    <font>
      <b val="true"/>
      <sz val="8"/>
      <color rgb="FF1A6B3C"/>
      <name val="Calibri"/>
      <family val="0"/>
      <charset val="1"/>
    </font>
    <font>
      <b val="true"/>
      <sz val="8"/>
      <color rgb="FFC0392B"/>
      <name val="Calibri"/>
      <family val="0"/>
      <charset val="1"/>
    </font>
    <font>
      <b val="true"/>
      <sz val="8"/>
      <color rgb="FFB8960C"/>
      <name val="Calibri"/>
      <family val="0"/>
      <charset val="1"/>
    </font>
    <font>
      <sz val="9"/>
      <color rgb="FFC0392B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sz val="8"/>
      <color rgb="FF6C757D"/>
      <name val="Calibri"/>
      <family val="0"/>
      <charset val="1"/>
    </font>
    <font>
      <b val="true"/>
      <sz val="10"/>
      <color rgb="FF1A2F5A"/>
      <name val="Calibri"/>
      <family val="0"/>
      <charset val="1"/>
    </font>
    <font>
      <sz val="9"/>
      <color rgb="FF1A6B3C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sz val="8"/>
      <color rgb="FFC0392B"/>
      <name val="Calibri"/>
      <family val="0"/>
      <charset val="1"/>
    </font>
    <font>
      <b val="true"/>
      <sz val="10"/>
      <color rgb="FF1A6B3C"/>
      <name val="Calibri"/>
      <family val="0"/>
      <charset val="1"/>
    </font>
    <font>
      <sz val="8"/>
      <color rgb="FF1A6B3C"/>
      <name val="Calibri"/>
      <family val="0"/>
      <charset val="1"/>
    </font>
    <font>
      <sz val="9"/>
      <color rgb="FF6C757D"/>
      <name val="Calibri"/>
      <family val="0"/>
      <charset val="1"/>
    </font>
    <font>
      <sz val="8"/>
      <color rgb="FF0B6E8A"/>
      <name val="Calibri"/>
      <family val="0"/>
      <charset val="1"/>
    </font>
    <font>
      <b val="true"/>
      <sz val="10"/>
      <color rgb="FF0B6E8A"/>
      <name val="Calibri"/>
      <family val="0"/>
      <charset val="1"/>
    </font>
    <font>
      <b val="true"/>
      <sz val="10"/>
      <color rgb="FF21252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8"/>
      <color rgb="FF21252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B6E8A"/>
      <name val="Calibri"/>
      <family val="0"/>
      <charset val="1"/>
    </font>
    <font>
      <b val="true"/>
      <sz val="9"/>
      <color rgb="FFB8960C"/>
      <name val="Calibri"/>
      <family val="0"/>
      <charset val="1"/>
    </font>
    <font>
      <b val="true"/>
      <sz val="15"/>
      <color rgb="FF1A2F5A"/>
      <name val="Calibri"/>
      <family val="0"/>
      <charset val="1"/>
    </font>
    <font>
      <b val="true"/>
      <sz val="15"/>
      <color rgb="FF1A6B3C"/>
      <name val="Calibri"/>
      <family val="0"/>
      <charset val="1"/>
    </font>
    <font>
      <b val="true"/>
      <sz val="15"/>
      <color rgb="FFC0392B"/>
      <name val="Calibri"/>
      <family val="0"/>
      <charset val="1"/>
    </font>
    <font>
      <b val="true"/>
      <sz val="15"/>
      <color rgb="FFB8960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212529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2F5A"/>
        <bgColor rgb="FF212529"/>
      </patternFill>
    </fill>
    <fill>
      <patternFill patternType="solid">
        <fgColor rgb="FFF8F9FA"/>
        <bgColor rgb="FFFFFFFF"/>
      </patternFill>
    </fill>
    <fill>
      <patternFill patternType="solid">
        <fgColor rgb="FF1A6B3C"/>
        <bgColor rgb="FF0B6E8A"/>
      </patternFill>
    </fill>
    <fill>
      <patternFill patternType="solid">
        <fgColor rgb="FF0B6E8A"/>
        <bgColor rgb="FF008080"/>
      </patternFill>
    </fill>
    <fill>
      <patternFill patternType="solid">
        <fgColor rgb="FFFFFFFF"/>
        <bgColor rgb="FFF8F9FA"/>
      </patternFill>
    </fill>
    <fill>
      <patternFill patternType="solid">
        <fgColor rgb="FFE5F4F8"/>
        <bgColor rgb="FFE8F5EE"/>
      </patternFill>
    </fill>
    <fill>
      <patternFill patternType="solid">
        <fgColor rgb="FFE8F5EE"/>
        <bgColor rgb="FFEDF7F1"/>
      </patternFill>
    </fill>
    <fill>
      <patternFill patternType="solid">
        <fgColor rgb="FFC0392B"/>
        <bgColor rgb="FF993366"/>
      </patternFill>
    </fill>
    <fill>
      <patternFill patternType="solid">
        <fgColor rgb="FFFDECEA"/>
        <bgColor rgb="FFF0F0F0"/>
      </patternFill>
    </fill>
    <fill>
      <patternFill patternType="solid">
        <fgColor rgb="FFB8960C"/>
        <bgColor rgb="FFC9A84C"/>
      </patternFill>
    </fill>
    <fill>
      <patternFill patternType="solid">
        <fgColor rgb="FFFEFAE8"/>
        <bgColor rgb="FFF8F9FA"/>
      </patternFill>
    </fill>
    <fill>
      <patternFill patternType="solid">
        <fgColor rgb="FFF0F0F0"/>
        <bgColor rgb="FFEDF7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DF7F1"/>
        </patternFill>
      </fill>
    </dxf>
    <dxf>
      <fill>
        <patternFill>
          <bgColor rgb="FFFDECEA"/>
        </patternFill>
      </fill>
    </dxf>
    <dxf>
      <fill>
        <patternFill>
          <bgColor rgb="FFFEFAE8"/>
        </patternFill>
      </fill>
    </dxf>
    <dxf>
      <fill>
        <patternFill>
          <bgColor rgb="FFE8F5EE"/>
        </patternFill>
      </fill>
    </dxf>
    <dxf>
      <fill>
        <patternFill>
          <bgColor rgb="FFD1FAE5"/>
        </patternFill>
      </fill>
    </dxf>
    <dxf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8960C"/>
      <rgbColor rgb="FF800080"/>
      <rgbColor rgb="FF0B6E8A"/>
      <rgbColor rgb="FFDEE2E6"/>
      <rgbColor rgb="FF878787"/>
      <rgbColor rgb="FF9999FF"/>
      <rgbColor rgb="FF993366"/>
      <rgbColor rgb="FFFEFAE8"/>
      <rgbColor rgb="FFE5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D1FAE5"/>
      <rgbColor rgb="FFFDECEA"/>
      <rgbColor rgb="FFBBF7D0"/>
      <rgbColor rgb="FFEDF7F1"/>
      <rgbColor rgb="FFF8F9FA"/>
      <rgbColor rgb="FFF0F0F0"/>
      <rgbColor rgb="FF3366FF"/>
      <rgbColor rgb="FF33CCCC"/>
      <rgbColor rgb="FF99CC00"/>
      <rgbColor rgb="FFFFCC00"/>
      <rgbColor rgb="FFFF9900"/>
      <rgbColor rgb="FFFF6600"/>
      <rgbColor rgb="FF6C757D"/>
      <rgbColor rgb="FFC9A84C"/>
      <rgbColor rgb="FF1A2F5A"/>
      <rgbColor rgb="FF339966"/>
      <rgbColor rgb="FF003300"/>
      <rgbColor rgb="FF333300"/>
      <rgbColor rgb="FFC0392B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vs Nifty 50 (₹10L Invested)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'💰 Portfolio Sim'!B6</c:f>
              <c:strCache>
                <c:ptCount val="1"/>
                <c:pt idx="0">
                  <c:v>Our Portfolio</c:v>
                </c:pt>
              </c:strCache>
            </c:strRef>
          </c:tx>
          <c:spPr>
            <a:solidFill>
              <a:srgbClr val="c9a84c"/>
            </a:solidFill>
            <a:ln w="2484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Portfolio Sim'!$A$7:$A$27</c:f>
              <c:strCache>
                <c:ptCount val="21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</c:strCache>
            </c:strRef>
          </c:cat>
          <c:val>
            <c:numRef>
              <c:f>'💰 Portfolio Sim'!$B$7:$B$27</c:f>
              <c:numCache>
                <c:formatCode>#,##0</c:formatCode>
                <c:ptCount val="21"/>
                <c:pt idx="0">
                  <c:v>1000000</c:v>
                </c:pt>
                <c:pt idx="1">
                  <c:v>1728752</c:v>
                </c:pt>
                <c:pt idx="2">
                  <c:v>2405685</c:v>
                </c:pt>
                <c:pt idx="3">
                  <c:v>2405685</c:v>
                </c:pt>
                <c:pt idx="4">
                  <c:v>2405685</c:v>
                </c:pt>
                <c:pt idx="5">
                  <c:v>2405685</c:v>
                </c:pt>
                <c:pt idx="6">
                  <c:v>2405685</c:v>
                </c:pt>
                <c:pt idx="7">
                  <c:v>2405685</c:v>
                </c:pt>
                <c:pt idx="8">
                  <c:v>2405685</c:v>
                </c:pt>
                <c:pt idx="9">
                  <c:v>2405685</c:v>
                </c:pt>
                <c:pt idx="10">
                  <c:v>2405685</c:v>
                </c:pt>
                <c:pt idx="11">
                  <c:v>2405685</c:v>
                </c:pt>
                <c:pt idx="12">
                  <c:v>2405685</c:v>
                </c:pt>
                <c:pt idx="13">
                  <c:v>2405685</c:v>
                </c:pt>
                <c:pt idx="14">
                  <c:v>2412760</c:v>
                </c:pt>
                <c:pt idx="15">
                  <c:v>2400641</c:v>
                </c:pt>
                <c:pt idx="16">
                  <c:v>2386747</c:v>
                </c:pt>
                <c:pt idx="17">
                  <c:v>2323976</c:v>
                </c:pt>
                <c:pt idx="18">
                  <c:v>2426526</c:v>
                </c:pt>
                <c:pt idx="19">
                  <c:v>2299517</c:v>
                </c:pt>
                <c:pt idx="20">
                  <c:v>2565184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'💰 Portfolio Sim'!C6</c:f>
              <c:strCache>
                <c:ptCount val="1"/>
                <c:pt idx="0">
                  <c:v>Nifty 50</c:v>
                </c:pt>
              </c:strCache>
            </c:strRef>
          </c:tx>
          <c:spPr>
            <a:solidFill>
              <a:srgbClr val="c0392b"/>
            </a:solidFill>
            <a:ln w="1800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Portfolio Sim'!$A$7:$A$27</c:f>
              <c:strCache>
                <c:ptCount val="21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</c:strCache>
            </c:strRef>
          </c:cat>
          <c:val>
            <c:numRef>
              <c:f>'💰 Portfolio Sim'!$C$7:$C$27</c:f>
              <c:numCache>
                <c:formatCode>#,##0</c:formatCode>
                <c:ptCount val="21"/>
                <c:pt idx="0">
                  <c:v>1000000</c:v>
                </c:pt>
                <c:pt idx="1">
                  <c:v>963483</c:v>
                </c:pt>
                <c:pt idx="2">
                  <c:v>912234</c:v>
                </c:pt>
                <c:pt idx="3">
                  <c:v>923128</c:v>
                </c:pt>
                <c:pt idx="4">
                  <c:v>916576</c:v>
                </c:pt>
                <c:pt idx="5">
                  <c:v>897930</c:v>
                </c:pt>
                <c:pt idx="6">
                  <c:v>865909</c:v>
                </c:pt>
                <c:pt idx="7">
                  <c:v>911731</c:v>
                </c:pt>
                <c:pt idx="8">
                  <c:v>931889</c:v>
                </c:pt>
                <c:pt idx="9">
                  <c:v>935688</c:v>
                </c:pt>
                <c:pt idx="10">
                  <c:v>962785</c:v>
                </c:pt>
                <c:pt idx="11">
                  <c:v>978252</c:v>
                </c:pt>
                <c:pt idx="12">
                  <c:v>1000543</c:v>
                </c:pt>
                <c:pt idx="13">
                  <c:v>938324</c:v>
                </c:pt>
                <c:pt idx="14">
                  <c:v>926772</c:v>
                </c:pt>
                <c:pt idx="15">
                  <c:v>916615</c:v>
                </c:pt>
                <c:pt idx="16">
                  <c:v>897891</c:v>
                </c:pt>
                <c:pt idx="17">
                  <c:v>883664</c:v>
                </c:pt>
                <c:pt idx="18">
                  <c:v>917119</c:v>
                </c:pt>
                <c:pt idx="19">
                  <c:v>914522</c:v>
                </c:pt>
                <c:pt idx="20">
                  <c:v>957513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722468"/>
        <c:axId val="82334538"/>
      </c:lineChart>
      <c:catAx>
        <c:axId val="83722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34538"/>
        <c:crosses val="autoZero"/>
        <c:auto val="1"/>
        <c:lblAlgn val="ctr"/>
        <c:lblOffset val="100"/>
        <c:noMultiLvlLbl val="0"/>
      </c:catAx>
      <c:valAx>
        <c:axId val="82334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22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19</xdr:col>
      <xdr:colOff>165960</xdr:colOff>
      <xdr:row>29</xdr:row>
      <xdr:rowOff>29520</xdr:rowOff>
    </xdr:to>
    <xdr:graphicFrame>
      <xdr:nvGraphicFramePr>
        <xdr:cNvPr id="0" name="Chart 1"/>
        <xdr:cNvGraphicFramePr/>
      </xdr:nvGraphicFramePr>
      <xdr:xfrm>
        <a:off x="4088160" y="14572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5" hidden="false" customHeight="false" outlineLevel="0" collapsed="false">
      <c r="A9" s="0" t="s">
        <v>24</v>
      </c>
      <c r="B9" s="0" t="s">
        <v>16</v>
      </c>
      <c r="C9" s="0" t="s">
        <v>25</v>
      </c>
    </row>
    <row r="10" customFormat="false" ht="15" hidden="false" customHeight="false" outlineLevel="0" collapsed="false">
      <c r="A10" s="0" t="s">
        <v>26</v>
      </c>
      <c r="B10" s="0" t="s">
        <v>4</v>
      </c>
      <c r="C10" s="0" t="s">
        <v>27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30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33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36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39</v>
      </c>
    </row>
    <row r="15" customFormat="false" ht="15" hidden="false" customHeight="false" outlineLevel="0" collapsed="false">
      <c r="A15" s="0" t="s">
        <v>40</v>
      </c>
      <c r="B15" s="0" t="s">
        <v>38</v>
      </c>
      <c r="C15" s="0" t="s">
        <v>41</v>
      </c>
    </row>
    <row r="16" customFormat="false" ht="15" hidden="false" customHeight="false" outlineLevel="0" collapsed="false">
      <c r="A16" s="0" t="s">
        <v>42</v>
      </c>
      <c r="B16" s="0" t="s">
        <v>35</v>
      </c>
      <c r="C16" s="0" t="s">
        <v>43</v>
      </c>
    </row>
    <row r="17" customFormat="false" ht="15" hidden="false" customHeight="false" outlineLevel="0" collapsed="false">
      <c r="A17" s="0" t="s">
        <v>44</v>
      </c>
      <c r="B17" s="0" t="s">
        <v>29</v>
      </c>
      <c r="C17" s="0" t="s">
        <v>45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25</v>
      </c>
    </row>
    <row r="19" customFormat="false" ht="15" hidden="false" customHeight="false" outlineLevel="0" collapsed="false">
      <c r="A19" s="0" t="s">
        <v>48</v>
      </c>
      <c r="B19" s="0" t="s">
        <v>49</v>
      </c>
      <c r="C19" s="0" t="s">
        <v>50</v>
      </c>
    </row>
    <row r="20" customFormat="false" ht="15" hidden="false" customHeight="false" outlineLevel="0" collapsed="false">
      <c r="A20" s="0" t="s">
        <v>51</v>
      </c>
      <c r="B20" s="0" t="s">
        <v>52</v>
      </c>
      <c r="C20" s="0" t="s">
        <v>53</v>
      </c>
    </row>
    <row r="21" customFormat="false" ht="15" hidden="false" customHeight="false" outlineLevel="0" collapsed="false">
      <c r="A21" s="0" t="s">
        <v>54</v>
      </c>
      <c r="B21" s="0" t="s">
        <v>29</v>
      </c>
      <c r="C21" s="0" t="s">
        <v>55</v>
      </c>
    </row>
    <row r="22" customFormat="false" ht="15" hidden="false" customHeight="false" outlineLevel="0" collapsed="false">
      <c r="A22" s="0" t="s">
        <v>56</v>
      </c>
      <c r="B22" s="0" t="s">
        <v>4</v>
      </c>
      <c r="C22" s="0" t="s">
        <v>57</v>
      </c>
    </row>
    <row r="23" customFormat="false" ht="15" hidden="false" customHeight="false" outlineLevel="0" collapsed="false">
      <c r="A23" s="0" t="s">
        <v>58</v>
      </c>
      <c r="B23" s="0" t="s">
        <v>16</v>
      </c>
      <c r="C23" s="0" t="s">
        <v>59</v>
      </c>
    </row>
    <row r="24" customFormat="false" ht="15" hidden="false" customHeight="false" outlineLevel="0" collapsed="false">
      <c r="A24" s="0" t="s">
        <v>60</v>
      </c>
      <c r="B24" s="0" t="s">
        <v>38</v>
      </c>
      <c r="C24" s="0" t="s">
        <v>61</v>
      </c>
    </row>
    <row r="25" customFormat="false" ht="15" hidden="false" customHeight="false" outlineLevel="0" collapsed="false">
      <c r="A25" s="0" t="s">
        <v>62</v>
      </c>
      <c r="B25" s="0" t="s">
        <v>49</v>
      </c>
      <c r="C25" s="0" t="s">
        <v>63</v>
      </c>
    </row>
    <row r="26" customFormat="false" ht="15" hidden="false" customHeight="false" outlineLevel="0" collapsed="false">
      <c r="A26" s="0" t="s">
        <v>64</v>
      </c>
      <c r="B26" s="0" t="s">
        <v>65</v>
      </c>
      <c r="C26" s="0" t="s">
        <v>66</v>
      </c>
    </row>
    <row r="27" customFormat="false" ht="15" hidden="false" customHeight="false" outlineLevel="0" collapsed="false">
      <c r="A27" s="0" t="s">
        <v>67</v>
      </c>
      <c r="B27" s="0" t="s">
        <v>22</v>
      </c>
      <c r="C27" s="0" t="s">
        <v>68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s">
        <v>71</v>
      </c>
    </row>
    <row r="29" customFormat="false" ht="15" hidden="false" customHeight="false" outlineLevel="0" collapsed="false">
      <c r="A29" s="0" t="s">
        <v>72</v>
      </c>
      <c r="B29" s="0" t="s">
        <v>13</v>
      </c>
      <c r="C29" s="0" t="s">
        <v>73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76</v>
      </c>
    </row>
    <row r="31" customFormat="false" ht="15" hidden="false" customHeight="false" outlineLevel="0" collapsed="false">
      <c r="A31" s="0" t="s">
        <v>77</v>
      </c>
      <c r="B31" s="0" t="s">
        <v>29</v>
      </c>
      <c r="C31" s="0" t="s">
        <v>78</v>
      </c>
    </row>
    <row r="32" customFormat="false" ht="15" hidden="false" customHeight="false" outlineLevel="0" collapsed="false">
      <c r="A32" s="0" t="s">
        <v>79</v>
      </c>
      <c r="B32" s="0" t="s">
        <v>16</v>
      </c>
      <c r="C32" s="0" t="s">
        <v>80</v>
      </c>
    </row>
    <row r="33" customFormat="false" ht="15" hidden="false" customHeight="false" outlineLevel="0" collapsed="false">
      <c r="A33" s="0" t="s">
        <v>81</v>
      </c>
      <c r="B33" s="0" t="s">
        <v>16</v>
      </c>
      <c r="C33" s="0" t="s">
        <v>82</v>
      </c>
    </row>
    <row r="34" customFormat="false" ht="15" hidden="false" customHeight="false" outlineLevel="0" collapsed="false">
      <c r="A34" s="0" t="s">
        <v>83</v>
      </c>
      <c r="B34" s="0" t="s">
        <v>49</v>
      </c>
      <c r="C34" s="0" t="s">
        <v>84</v>
      </c>
    </row>
    <row r="35" customFormat="false" ht="15" hidden="false" customHeight="false" outlineLevel="0" collapsed="false">
      <c r="A35" s="0" t="s">
        <v>85</v>
      </c>
      <c r="B35" s="0" t="s">
        <v>13</v>
      </c>
      <c r="C35" s="0" t="s">
        <v>86</v>
      </c>
    </row>
    <row r="36" customFormat="false" ht="15" hidden="false" customHeight="false" outlineLevel="0" collapsed="false">
      <c r="A36" s="0" t="s">
        <v>87</v>
      </c>
      <c r="B36" s="0" t="s">
        <v>29</v>
      </c>
      <c r="C36" s="0" t="s">
        <v>88</v>
      </c>
    </row>
    <row r="37" customFormat="false" ht="15" hidden="false" customHeight="false" outlineLevel="0" collapsed="false">
      <c r="A37" s="0" t="s">
        <v>89</v>
      </c>
      <c r="B37" s="0" t="s">
        <v>52</v>
      </c>
      <c r="C37" s="0" t="s">
        <v>90</v>
      </c>
    </row>
    <row r="38" customFormat="false" ht="15" hidden="false" customHeight="false" outlineLevel="0" collapsed="false">
      <c r="A38" s="0" t="s">
        <v>91</v>
      </c>
      <c r="B38" s="0" t="s">
        <v>13</v>
      </c>
      <c r="C38" s="0" t="s">
        <v>92</v>
      </c>
    </row>
    <row r="39" customFormat="false" ht="15" hidden="false" customHeight="false" outlineLevel="0" collapsed="false">
      <c r="A39" s="0" t="s">
        <v>93</v>
      </c>
      <c r="B39" s="0" t="s">
        <v>65</v>
      </c>
      <c r="C39" s="0" t="s">
        <v>94</v>
      </c>
    </row>
    <row r="40" customFormat="false" ht="15" hidden="false" customHeight="false" outlineLevel="0" collapsed="false">
      <c r="A40" s="0" t="s">
        <v>95</v>
      </c>
      <c r="B40" s="0" t="s">
        <v>4</v>
      </c>
      <c r="C40" s="0" t="s">
        <v>96</v>
      </c>
    </row>
    <row r="41" customFormat="false" ht="15" hidden="false" customHeight="false" outlineLevel="0" collapsed="false">
      <c r="A41" s="0" t="s">
        <v>97</v>
      </c>
      <c r="B41" s="0" t="s">
        <v>75</v>
      </c>
      <c r="C41" s="0" t="s">
        <v>98</v>
      </c>
    </row>
    <row r="42" customFormat="false" ht="15" hidden="false" customHeight="false" outlineLevel="0" collapsed="false">
      <c r="A42" s="0" t="s">
        <v>99</v>
      </c>
      <c r="B42" s="0" t="s">
        <v>4</v>
      </c>
      <c r="C42" s="0" t="s">
        <v>100</v>
      </c>
    </row>
    <row r="43" customFormat="false" ht="15" hidden="false" customHeight="false" outlineLevel="0" collapsed="false">
      <c r="A43" s="0" t="s">
        <v>101</v>
      </c>
      <c r="B43" s="0" t="s">
        <v>102</v>
      </c>
      <c r="C43" s="0" t="s">
        <v>103</v>
      </c>
    </row>
    <row r="44" customFormat="false" ht="15" hidden="false" customHeight="false" outlineLevel="0" collapsed="false">
      <c r="A44" s="0" t="s">
        <v>104</v>
      </c>
      <c r="B44" s="0" t="s">
        <v>35</v>
      </c>
      <c r="C44" s="0" t="s">
        <v>105</v>
      </c>
    </row>
    <row r="45" customFormat="false" ht="15" hidden="false" customHeight="false" outlineLevel="0" collapsed="false">
      <c r="A45" s="0" t="s">
        <v>106</v>
      </c>
      <c r="B45" s="0" t="s">
        <v>65</v>
      </c>
      <c r="C45" s="0" t="s">
        <v>107</v>
      </c>
    </row>
    <row r="46" customFormat="false" ht="15" hidden="false" customHeight="false" outlineLevel="0" collapsed="false">
      <c r="A46" s="0" t="s">
        <v>108</v>
      </c>
      <c r="B46" s="0" t="s">
        <v>10</v>
      </c>
      <c r="C46" s="0" t="s">
        <v>109</v>
      </c>
    </row>
    <row r="47" customFormat="false" ht="15" hidden="false" customHeight="false" outlineLevel="0" collapsed="false">
      <c r="A47" s="0" t="s">
        <v>110</v>
      </c>
      <c r="B47" s="0" t="s">
        <v>111</v>
      </c>
      <c r="C47" s="0" t="s">
        <v>112</v>
      </c>
    </row>
    <row r="48" customFormat="false" ht="15" hidden="false" customHeight="false" outlineLevel="0" collapsed="false">
      <c r="A48" s="0" t="s">
        <v>113</v>
      </c>
      <c r="B48" s="0" t="s">
        <v>10</v>
      </c>
      <c r="C48" s="0" t="s">
        <v>114</v>
      </c>
    </row>
    <row r="49" customFormat="false" ht="15" hidden="false" customHeight="false" outlineLevel="0" collapsed="false">
      <c r="A49" s="0" t="s">
        <v>115</v>
      </c>
      <c r="B49" s="0" t="s">
        <v>22</v>
      </c>
      <c r="C49" s="0" t="s">
        <v>116</v>
      </c>
    </row>
    <row r="50" customFormat="false" ht="15" hidden="false" customHeight="false" outlineLevel="0" collapsed="false">
      <c r="A50" s="0" t="s">
        <v>117</v>
      </c>
      <c r="B50" s="0" t="s">
        <v>13</v>
      </c>
      <c r="C50" s="0" t="s">
        <v>118</v>
      </c>
    </row>
    <row r="51" customFormat="false" ht="15" hidden="false" customHeight="false" outlineLevel="0" collapsed="false">
      <c r="A51" s="0" t="s">
        <v>119</v>
      </c>
      <c r="B51" s="0" t="s">
        <v>47</v>
      </c>
      <c r="C51" s="0" t="s">
        <v>120</v>
      </c>
    </row>
    <row r="52" customFormat="false" ht="15" hidden="false" customHeight="false" outlineLevel="0" collapsed="false">
      <c r="A52" s="0" t="s">
        <v>121</v>
      </c>
      <c r="B52" s="0" t="s">
        <v>7</v>
      </c>
      <c r="C52" s="0" t="s">
        <v>122</v>
      </c>
    </row>
    <row r="53" customFormat="false" ht="15" hidden="false" customHeight="false" outlineLevel="0" collapsed="false">
      <c r="A53" s="0" t="s">
        <v>123</v>
      </c>
      <c r="B53" s="0" t="s">
        <v>47</v>
      </c>
      <c r="C53" s="0" t="s">
        <v>124</v>
      </c>
    </row>
    <row r="54" customFormat="false" ht="15" hidden="false" customHeight="false" outlineLevel="0" collapsed="false">
      <c r="A54" s="0" t="s">
        <v>125</v>
      </c>
      <c r="B54" s="0" t="s">
        <v>126</v>
      </c>
      <c r="C54" s="0" t="s">
        <v>127</v>
      </c>
    </row>
    <row r="55" customFormat="false" ht="15" hidden="false" customHeight="false" outlineLevel="0" collapsed="false">
      <c r="A55" s="0" t="s">
        <v>128</v>
      </c>
      <c r="B55" s="0" t="s">
        <v>129</v>
      </c>
      <c r="C55" s="0" t="s">
        <v>130</v>
      </c>
    </row>
    <row r="56" customFormat="false" ht="15" hidden="false" customHeight="false" outlineLevel="0" collapsed="false">
      <c r="A56" s="0" t="s">
        <v>131</v>
      </c>
      <c r="B56" s="0" t="s">
        <v>126</v>
      </c>
      <c r="C56" s="0" t="s">
        <v>132</v>
      </c>
    </row>
    <row r="57" customFormat="false" ht="15" hidden="false" customHeight="false" outlineLevel="0" collapsed="false">
      <c r="A57" s="0" t="s">
        <v>133</v>
      </c>
      <c r="B57" s="0" t="s">
        <v>7</v>
      </c>
      <c r="C57" s="0" t="s">
        <v>134</v>
      </c>
    </row>
    <row r="58" customFormat="false" ht="15" hidden="false" customHeight="false" outlineLevel="0" collapsed="false">
      <c r="A58" s="0" t="s">
        <v>135</v>
      </c>
      <c r="B58" s="0" t="s">
        <v>7</v>
      </c>
      <c r="C58" s="0" t="s">
        <v>136</v>
      </c>
    </row>
    <row r="59" customFormat="false" ht="15" hidden="false" customHeight="false" outlineLevel="0" collapsed="false">
      <c r="A59" s="0" t="s">
        <v>137</v>
      </c>
      <c r="B59" s="0" t="s">
        <v>126</v>
      </c>
      <c r="C59" s="0" t="s">
        <v>138</v>
      </c>
    </row>
    <row r="60" customFormat="false" ht="15" hidden="false" customHeight="false" outlineLevel="0" collapsed="false">
      <c r="A60" s="0" t="s">
        <v>139</v>
      </c>
      <c r="B60" s="0" t="s">
        <v>52</v>
      </c>
      <c r="C60" s="0" t="s">
        <v>140</v>
      </c>
    </row>
    <row r="61" customFormat="false" ht="15" hidden="false" customHeight="false" outlineLevel="0" collapsed="false">
      <c r="A61" s="0" t="s">
        <v>141</v>
      </c>
      <c r="B61" s="0" t="s">
        <v>142</v>
      </c>
      <c r="C61" s="0" t="s">
        <v>143</v>
      </c>
    </row>
    <row r="62" customFormat="false" ht="15" hidden="false" customHeight="false" outlineLevel="0" collapsed="false">
      <c r="A62" s="0" t="s">
        <v>144</v>
      </c>
      <c r="B62" s="0" t="s">
        <v>111</v>
      </c>
      <c r="C62" s="0" t="s">
        <v>145</v>
      </c>
    </row>
    <row r="63" customFormat="false" ht="15" hidden="false" customHeight="false" outlineLevel="0" collapsed="false">
      <c r="A63" s="0" t="s">
        <v>146</v>
      </c>
      <c r="B63" s="0" t="s">
        <v>147</v>
      </c>
      <c r="C63" s="0" t="s">
        <v>148</v>
      </c>
    </row>
    <row r="64" customFormat="false" ht="15" hidden="false" customHeight="false" outlineLevel="0" collapsed="false">
      <c r="A64" s="0" t="s">
        <v>149</v>
      </c>
      <c r="B64" s="0" t="s">
        <v>7</v>
      </c>
      <c r="C64" s="0" t="s">
        <v>150</v>
      </c>
    </row>
    <row r="65" customFormat="false" ht="15" hidden="false" customHeight="false" outlineLevel="0" collapsed="false">
      <c r="A65" s="0" t="s">
        <v>151</v>
      </c>
      <c r="B65" s="0" t="s">
        <v>13</v>
      </c>
      <c r="C65" s="0" t="s">
        <v>152</v>
      </c>
    </row>
    <row r="66" customFormat="false" ht="15" hidden="false" customHeight="false" outlineLevel="0" collapsed="false">
      <c r="A66" s="0" t="s">
        <v>153</v>
      </c>
      <c r="B66" s="0" t="s">
        <v>65</v>
      </c>
      <c r="C66" s="0" t="s">
        <v>154</v>
      </c>
    </row>
    <row r="67" customFormat="false" ht="15" hidden="false" customHeight="false" outlineLevel="0" collapsed="false">
      <c r="A67" s="0" t="s">
        <v>155</v>
      </c>
      <c r="B67" s="0" t="s">
        <v>126</v>
      </c>
      <c r="C67" s="0" t="s">
        <v>156</v>
      </c>
    </row>
    <row r="68" customFormat="false" ht="15" hidden="false" customHeight="false" outlineLevel="0" collapsed="false">
      <c r="A68" s="0" t="s">
        <v>157</v>
      </c>
      <c r="B68" s="0" t="s">
        <v>47</v>
      </c>
      <c r="C68" s="0" t="s">
        <v>68</v>
      </c>
    </row>
    <row r="69" customFormat="false" ht="15" hidden="false" customHeight="false" outlineLevel="0" collapsed="false">
      <c r="A69" s="0" t="s">
        <v>158</v>
      </c>
      <c r="B69" s="0" t="s">
        <v>159</v>
      </c>
      <c r="C69" s="0" t="s">
        <v>160</v>
      </c>
    </row>
    <row r="70" customFormat="false" ht="15" hidden="false" customHeight="false" outlineLevel="0" collapsed="false">
      <c r="A70" s="0" t="s">
        <v>161</v>
      </c>
      <c r="B70" s="0" t="s">
        <v>13</v>
      </c>
      <c r="C70" s="0" t="s">
        <v>162</v>
      </c>
    </row>
    <row r="71" customFormat="false" ht="15" hidden="false" customHeight="false" outlineLevel="0" collapsed="false">
      <c r="A71" s="0" t="s">
        <v>163</v>
      </c>
      <c r="B71" s="0" t="s">
        <v>16</v>
      </c>
      <c r="C71" s="0" t="s">
        <v>164</v>
      </c>
    </row>
    <row r="72" customFormat="false" ht="15" hidden="false" customHeight="false" outlineLevel="0" collapsed="false">
      <c r="A72" s="0" t="s">
        <v>165</v>
      </c>
      <c r="B72" s="0" t="s">
        <v>166</v>
      </c>
      <c r="C72" s="0" t="s">
        <v>167</v>
      </c>
    </row>
    <row r="73" customFormat="false" ht="15" hidden="false" customHeight="false" outlineLevel="0" collapsed="false">
      <c r="A73" s="0" t="s">
        <v>168</v>
      </c>
      <c r="B73" s="0" t="s">
        <v>10</v>
      </c>
      <c r="C73" s="0" t="s">
        <v>169</v>
      </c>
    </row>
    <row r="74" customFormat="false" ht="15" hidden="false" customHeight="false" outlineLevel="0" collapsed="false">
      <c r="A74" s="0" t="s">
        <v>170</v>
      </c>
      <c r="B74" s="0" t="s">
        <v>70</v>
      </c>
      <c r="C74" s="0" t="s">
        <v>162</v>
      </c>
    </row>
    <row r="75" customFormat="false" ht="15" hidden="false" customHeight="false" outlineLevel="0" collapsed="false">
      <c r="A75" s="0" t="s">
        <v>171</v>
      </c>
      <c r="B75" s="0" t="s">
        <v>166</v>
      </c>
      <c r="C75" s="0" t="s">
        <v>172</v>
      </c>
    </row>
    <row r="76" customFormat="false" ht="15" hidden="false" customHeight="false" outlineLevel="0" collapsed="false">
      <c r="A76" s="0" t="s">
        <v>173</v>
      </c>
      <c r="B76" s="0" t="s">
        <v>126</v>
      </c>
      <c r="C76" s="0" t="s">
        <v>174</v>
      </c>
    </row>
    <row r="77" customFormat="false" ht="15" hidden="false" customHeight="false" outlineLevel="0" collapsed="false">
      <c r="A77" s="0" t="s">
        <v>175</v>
      </c>
      <c r="B77" s="0" t="s">
        <v>7</v>
      </c>
      <c r="C77" s="0" t="s">
        <v>176</v>
      </c>
    </row>
    <row r="78" customFormat="false" ht="15" hidden="false" customHeight="false" outlineLevel="0" collapsed="false">
      <c r="A78" s="0" t="s">
        <v>177</v>
      </c>
      <c r="B78" s="0" t="s">
        <v>38</v>
      </c>
      <c r="C78" s="0" t="s">
        <v>178</v>
      </c>
    </row>
    <row r="79" customFormat="false" ht="15" hidden="false" customHeight="false" outlineLevel="0" collapsed="false">
      <c r="A79" s="0" t="s">
        <v>179</v>
      </c>
      <c r="B79" s="0" t="s">
        <v>7</v>
      </c>
      <c r="C79" s="0" t="s">
        <v>180</v>
      </c>
    </row>
    <row r="80" customFormat="false" ht="15" hidden="false" customHeight="false" outlineLevel="0" collapsed="false">
      <c r="A80" s="0" t="s">
        <v>181</v>
      </c>
      <c r="B80" s="0" t="s">
        <v>38</v>
      </c>
      <c r="C80" s="0" t="s">
        <v>182</v>
      </c>
    </row>
    <row r="81" customFormat="false" ht="15" hidden="false" customHeight="false" outlineLevel="0" collapsed="false">
      <c r="A81" s="0" t="s">
        <v>183</v>
      </c>
      <c r="B81" s="0" t="s">
        <v>38</v>
      </c>
      <c r="C81" s="0" t="s">
        <v>184</v>
      </c>
    </row>
    <row r="82" customFormat="false" ht="15" hidden="false" customHeight="false" outlineLevel="0" collapsed="false">
      <c r="A82" s="0" t="s">
        <v>185</v>
      </c>
      <c r="B82" s="0" t="s">
        <v>65</v>
      </c>
      <c r="C82" s="0" t="s">
        <v>186</v>
      </c>
    </row>
    <row r="83" customFormat="false" ht="15" hidden="false" customHeight="false" outlineLevel="0" collapsed="false">
      <c r="A83" s="0" t="s">
        <v>187</v>
      </c>
      <c r="B83" s="0" t="s">
        <v>22</v>
      </c>
      <c r="C83" s="0" t="s">
        <v>188</v>
      </c>
    </row>
    <row r="84" customFormat="false" ht="15" hidden="false" customHeight="false" outlineLevel="0" collapsed="false">
      <c r="A84" s="0" t="s">
        <v>189</v>
      </c>
      <c r="B84" s="0" t="s">
        <v>126</v>
      </c>
      <c r="C84" s="0" t="s">
        <v>190</v>
      </c>
    </row>
    <row r="85" customFormat="false" ht="15" hidden="false" customHeight="false" outlineLevel="0" collapsed="false">
      <c r="A85" s="0" t="s">
        <v>191</v>
      </c>
      <c r="B85" s="0" t="s">
        <v>192</v>
      </c>
      <c r="C85" s="0" t="s">
        <v>193</v>
      </c>
    </row>
    <row r="86" customFormat="false" ht="15" hidden="false" customHeight="false" outlineLevel="0" collapsed="false">
      <c r="A86" s="0" t="s">
        <v>194</v>
      </c>
      <c r="B86" s="0" t="s">
        <v>22</v>
      </c>
      <c r="C86" s="0" t="s">
        <v>195</v>
      </c>
    </row>
    <row r="87" customFormat="false" ht="15" hidden="false" customHeight="false" outlineLevel="0" collapsed="false">
      <c r="A87" s="0" t="s">
        <v>196</v>
      </c>
      <c r="B87" s="0" t="s">
        <v>4</v>
      </c>
      <c r="C87" s="0" t="s">
        <v>197</v>
      </c>
    </row>
    <row r="88" customFormat="false" ht="15" hidden="false" customHeight="false" outlineLevel="0" collapsed="false">
      <c r="A88" s="0" t="s">
        <v>198</v>
      </c>
      <c r="B88" s="0" t="s">
        <v>22</v>
      </c>
      <c r="C88" s="0" t="s">
        <v>199</v>
      </c>
    </row>
    <row r="89" customFormat="false" ht="15" hidden="false" customHeight="false" outlineLevel="0" collapsed="false">
      <c r="A89" s="0" t="s">
        <v>200</v>
      </c>
      <c r="B89" s="0" t="s">
        <v>7</v>
      </c>
      <c r="C89" s="0" t="s">
        <v>201</v>
      </c>
    </row>
    <row r="90" customFormat="false" ht="15" hidden="false" customHeight="false" outlineLevel="0" collapsed="false">
      <c r="A90" s="0" t="s">
        <v>202</v>
      </c>
      <c r="B90" s="0" t="s">
        <v>126</v>
      </c>
      <c r="C90" s="0" t="s">
        <v>203</v>
      </c>
    </row>
    <row r="91" customFormat="false" ht="15" hidden="false" customHeight="false" outlineLevel="0" collapsed="false">
      <c r="A91" s="0" t="s">
        <v>204</v>
      </c>
      <c r="B91" s="0" t="s">
        <v>32</v>
      </c>
      <c r="C91" s="0" t="s">
        <v>205</v>
      </c>
    </row>
    <row r="92" customFormat="false" ht="15" hidden="false" customHeight="false" outlineLevel="0" collapsed="false">
      <c r="A92" s="0" t="s">
        <v>206</v>
      </c>
      <c r="B92" s="0" t="s">
        <v>32</v>
      </c>
      <c r="C92" s="0" t="s">
        <v>207</v>
      </c>
    </row>
    <row r="93" customFormat="false" ht="15" hidden="false" customHeight="false" outlineLevel="0" collapsed="false">
      <c r="A93" s="0" t="s">
        <v>208</v>
      </c>
      <c r="B93" s="0" t="s">
        <v>209</v>
      </c>
      <c r="C93" s="0" t="s">
        <v>210</v>
      </c>
    </row>
    <row r="94" customFormat="false" ht="15" hidden="false" customHeight="false" outlineLevel="0" collapsed="false">
      <c r="A94" s="0" t="s">
        <v>211</v>
      </c>
      <c r="B94" s="0" t="s">
        <v>10</v>
      </c>
      <c r="C94" s="0" t="s">
        <v>212</v>
      </c>
    </row>
    <row r="95" customFormat="false" ht="15" hidden="false" customHeight="false" outlineLevel="0" collapsed="false">
      <c r="A95" s="0" t="s">
        <v>213</v>
      </c>
      <c r="B95" s="0" t="s">
        <v>102</v>
      </c>
      <c r="C95" s="0" t="s">
        <v>214</v>
      </c>
    </row>
    <row r="96" customFormat="false" ht="15" hidden="false" customHeight="false" outlineLevel="0" collapsed="false">
      <c r="A96" s="0" t="s">
        <v>215</v>
      </c>
      <c r="B96" s="0" t="s">
        <v>47</v>
      </c>
      <c r="C96" s="0" t="s">
        <v>216</v>
      </c>
    </row>
    <row r="97" customFormat="false" ht="15" hidden="false" customHeight="false" outlineLevel="0" collapsed="false">
      <c r="A97" s="0" t="s">
        <v>217</v>
      </c>
      <c r="B97" s="0" t="s">
        <v>16</v>
      </c>
      <c r="C97" s="0" t="s">
        <v>218</v>
      </c>
    </row>
    <row r="98" customFormat="false" ht="15" hidden="false" customHeight="false" outlineLevel="0" collapsed="false">
      <c r="A98" s="0" t="s">
        <v>219</v>
      </c>
      <c r="B98" s="0" t="s">
        <v>29</v>
      </c>
      <c r="C98" s="0" t="s">
        <v>220</v>
      </c>
    </row>
    <row r="99" customFormat="false" ht="15" hidden="false" customHeight="false" outlineLevel="0" collapsed="false">
      <c r="A99" s="0" t="s">
        <v>221</v>
      </c>
      <c r="B99" s="0" t="s">
        <v>102</v>
      </c>
      <c r="C99" s="0" t="s">
        <v>222</v>
      </c>
    </row>
    <row r="100" customFormat="false" ht="15" hidden="false" customHeight="false" outlineLevel="0" collapsed="false">
      <c r="A100" s="0" t="s">
        <v>223</v>
      </c>
      <c r="B100" s="0" t="s">
        <v>224</v>
      </c>
      <c r="C100" s="0" t="s">
        <v>225</v>
      </c>
    </row>
    <row r="101" customFormat="false" ht="15" hidden="false" customHeight="false" outlineLevel="0" collapsed="false">
      <c r="A101" s="0" t="s">
        <v>226</v>
      </c>
      <c r="B101" s="0" t="s">
        <v>111</v>
      </c>
      <c r="C101" s="0" t="s">
        <v>227</v>
      </c>
    </row>
    <row r="102" customFormat="false" ht="15" hidden="false" customHeight="false" outlineLevel="0" collapsed="false">
      <c r="A102" s="0" t="s">
        <v>228</v>
      </c>
      <c r="B102" s="0" t="s">
        <v>47</v>
      </c>
      <c r="C102" s="0" t="s">
        <v>229</v>
      </c>
    </row>
    <row r="103" customFormat="false" ht="15" hidden="false" customHeight="false" outlineLevel="0" collapsed="false">
      <c r="A103" s="0" t="s">
        <v>230</v>
      </c>
      <c r="B103" s="0" t="s">
        <v>209</v>
      </c>
      <c r="C103" s="0" t="s">
        <v>231</v>
      </c>
    </row>
    <row r="104" customFormat="false" ht="15" hidden="false" customHeight="false" outlineLevel="0" collapsed="false">
      <c r="A104" s="0" t="s">
        <v>232</v>
      </c>
      <c r="B104" s="0" t="s">
        <v>129</v>
      </c>
      <c r="C104" s="0" t="s">
        <v>233</v>
      </c>
    </row>
    <row r="105" customFormat="false" ht="15" hidden="false" customHeight="false" outlineLevel="0" collapsed="false">
      <c r="A105" s="0" t="s">
        <v>234</v>
      </c>
      <c r="B105" s="0" t="s">
        <v>65</v>
      </c>
      <c r="C105" s="0" t="s">
        <v>235</v>
      </c>
    </row>
    <row r="106" customFormat="false" ht="15" hidden="false" customHeight="false" outlineLevel="0" collapsed="false">
      <c r="A106" s="0" t="s">
        <v>236</v>
      </c>
      <c r="B106" s="0" t="s">
        <v>237</v>
      </c>
      <c r="C106" s="0" t="s">
        <v>238</v>
      </c>
    </row>
    <row r="107" customFormat="false" ht="15" hidden="false" customHeight="false" outlineLevel="0" collapsed="false">
      <c r="A107" s="0" t="s">
        <v>239</v>
      </c>
      <c r="B107" s="0" t="s">
        <v>22</v>
      </c>
      <c r="C107" s="0" t="s">
        <v>240</v>
      </c>
    </row>
    <row r="108" customFormat="false" ht="15" hidden="false" customHeight="false" outlineLevel="0" collapsed="false">
      <c r="A108" s="0" t="s">
        <v>241</v>
      </c>
      <c r="B108" s="0" t="s">
        <v>38</v>
      </c>
      <c r="C108" s="0" t="s">
        <v>242</v>
      </c>
    </row>
    <row r="109" customFormat="false" ht="15" hidden="false" customHeight="false" outlineLevel="0" collapsed="false">
      <c r="A109" s="0" t="s">
        <v>243</v>
      </c>
      <c r="B109" s="0" t="s">
        <v>38</v>
      </c>
      <c r="C109" s="0" t="s">
        <v>244</v>
      </c>
    </row>
    <row r="110" customFormat="false" ht="15" hidden="false" customHeight="false" outlineLevel="0" collapsed="false">
      <c r="A110" s="0" t="s">
        <v>245</v>
      </c>
      <c r="B110" s="0" t="s">
        <v>38</v>
      </c>
      <c r="C110" s="0" t="s">
        <v>246</v>
      </c>
    </row>
    <row r="111" customFormat="false" ht="15" hidden="false" customHeight="false" outlineLevel="0" collapsed="false">
      <c r="A111" s="0" t="s">
        <v>247</v>
      </c>
      <c r="B111" s="0" t="s">
        <v>22</v>
      </c>
      <c r="C111" s="0" t="s">
        <v>248</v>
      </c>
    </row>
    <row r="112" customFormat="false" ht="15" hidden="false" customHeight="false" outlineLevel="0" collapsed="false">
      <c r="A112" s="0" t="s">
        <v>249</v>
      </c>
      <c r="B112" s="0" t="s">
        <v>10</v>
      </c>
      <c r="C112" s="0" t="s">
        <v>250</v>
      </c>
    </row>
    <row r="113" customFormat="false" ht="15" hidden="false" customHeight="false" outlineLevel="0" collapsed="false">
      <c r="A113" s="0" t="s">
        <v>251</v>
      </c>
      <c r="B113" s="0" t="s">
        <v>126</v>
      </c>
      <c r="C113" s="0" t="s">
        <v>252</v>
      </c>
    </row>
    <row r="114" customFormat="false" ht="15" hidden="false" customHeight="false" outlineLevel="0" collapsed="false">
      <c r="A114" s="0" t="s">
        <v>253</v>
      </c>
      <c r="B114" s="0" t="s">
        <v>22</v>
      </c>
      <c r="C114" s="0" t="s">
        <v>254</v>
      </c>
    </row>
    <row r="115" customFormat="false" ht="15" hidden="false" customHeight="false" outlineLevel="0" collapsed="false">
      <c r="A115" s="0" t="s">
        <v>255</v>
      </c>
      <c r="B115" s="0" t="s">
        <v>65</v>
      </c>
      <c r="C115" s="0" t="s">
        <v>256</v>
      </c>
    </row>
    <row r="116" customFormat="false" ht="15" hidden="false" customHeight="false" outlineLevel="0" collapsed="false">
      <c r="A116" s="0" t="s">
        <v>257</v>
      </c>
      <c r="B116" s="0" t="s">
        <v>258</v>
      </c>
      <c r="C116" s="0" t="s">
        <v>259</v>
      </c>
    </row>
    <row r="117" customFormat="false" ht="15" hidden="false" customHeight="false" outlineLevel="0" collapsed="false">
      <c r="A117" s="0" t="s">
        <v>260</v>
      </c>
      <c r="B117" s="0" t="s">
        <v>7</v>
      </c>
      <c r="C117" s="0" t="s">
        <v>261</v>
      </c>
    </row>
    <row r="118" customFormat="false" ht="15" hidden="false" customHeight="false" outlineLevel="0" collapsed="false">
      <c r="A118" s="0" t="s">
        <v>262</v>
      </c>
      <c r="B118" s="0" t="s">
        <v>38</v>
      </c>
      <c r="C118" s="0" t="s">
        <v>263</v>
      </c>
    </row>
    <row r="119" customFormat="false" ht="15" hidden="false" customHeight="false" outlineLevel="0" collapsed="false">
      <c r="A119" s="0" t="s">
        <v>264</v>
      </c>
      <c r="B119" s="0" t="s">
        <v>65</v>
      </c>
      <c r="C119" s="0" t="s">
        <v>265</v>
      </c>
    </row>
    <row r="120" customFormat="false" ht="15" hidden="false" customHeight="false" outlineLevel="0" collapsed="false">
      <c r="A120" s="0" t="s">
        <v>266</v>
      </c>
      <c r="B120" s="0" t="s">
        <v>49</v>
      </c>
      <c r="C120" s="0" t="s">
        <v>267</v>
      </c>
    </row>
    <row r="121" customFormat="false" ht="15" hidden="false" customHeight="false" outlineLevel="0" collapsed="false">
      <c r="A121" s="0" t="s">
        <v>268</v>
      </c>
      <c r="B121" s="0" t="s">
        <v>258</v>
      </c>
      <c r="C121" s="0" t="s">
        <v>269</v>
      </c>
    </row>
    <row r="122" customFormat="false" ht="15" hidden="false" customHeight="false" outlineLevel="0" collapsed="false">
      <c r="A122" s="0" t="s">
        <v>270</v>
      </c>
      <c r="B122" s="0" t="s">
        <v>32</v>
      </c>
      <c r="C122" s="0" t="s">
        <v>271</v>
      </c>
    </row>
    <row r="123" customFormat="false" ht="15" hidden="false" customHeight="false" outlineLevel="0" collapsed="false">
      <c r="A123" s="0" t="s">
        <v>272</v>
      </c>
      <c r="B123" s="0" t="s">
        <v>22</v>
      </c>
      <c r="C123" s="0" t="s">
        <v>273</v>
      </c>
    </row>
    <row r="124" customFormat="false" ht="15" hidden="false" customHeight="false" outlineLevel="0" collapsed="false">
      <c r="A124" s="0" t="s">
        <v>274</v>
      </c>
      <c r="B124" s="0" t="s">
        <v>10</v>
      </c>
      <c r="C124" s="0" t="s">
        <v>275</v>
      </c>
    </row>
    <row r="125" customFormat="false" ht="15" hidden="false" customHeight="false" outlineLevel="0" collapsed="false">
      <c r="A125" s="0" t="s">
        <v>276</v>
      </c>
      <c r="B125" s="0" t="s">
        <v>47</v>
      </c>
      <c r="C125" s="0" t="s">
        <v>277</v>
      </c>
    </row>
    <row r="126" customFormat="false" ht="15" hidden="false" customHeight="false" outlineLevel="0" collapsed="false">
      <c r="A126" s="0" t="s">
        <v>278</v>
      </c>
      <c r="B126" s="0" t="s">
        <v>237</v>
      </c>
      <c r="C126" s="0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  <col collapsed="false" customWidth="true" hidden="false" outlineLevel="0" max="8" min="8" style="0" width="16"/>
    <col collapsed="false" customWidth="true" hidden="false" outlineLevel="0" max="9" min="9" style="0" width="7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2" t="s">
        <v>280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3" t="s">
        <v>281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A5" s="5" t="s">
        <v>282</v>
      </c>
      <c r="B5" s="5" t="s">
        <v>283</v>
      </c>
      <c r="C5" s="5" t="s">
        <v>284</v>
      </c>
      <c r="D5" s="5" t="s">
        <v>285</v>
      </c>
      <c r="E5" s="5" t="s">
        <v>286</v>
      </c>
      <c r="F5" s="5" t="s">
        <v>287</v>
      </c>
      <c r="G5" s="5" t="s">
        <v>288</v>
      </c>
      <c r="H5" s="5" t="s">
        <v>289</v>
      </c>
      <c r="I5" s="5" t="s">
        <v>290</v>
      </c>
      <c r="J5" s="5" t="s">
        <v>291</v>
      </c>
    </row>
    <row r="6" customFormat="false" ht="45.75" hidden="false" customHeight="true" outlineLevel="0" collapsed="false">
      <c r="A6" s="6" t="n">
        <f aca="false">COUNTA('Trade Tracker'!B5:B167)-COUNTIF('Trade Tracker'!B5:B167,"← Add ticker")-COUNTIF('Trade Tracker'!B5:B167,"")</f>
        <v>133</v>
      </c>
      <c r="B6" s="7" t="n">
        <f aca="false">COUNTIF('Trade Tracker'!O5:O167,"WIN")</f>
        <v>84</v>
      </c>
      <c r="C6" s="8" t="n">
        <f aca="false">COUNTIF('Trade Tracker'!O5:O167,"LOSS")</f>
        <v>25</v>
      </c>
      <c r="D6" s="9" t="n">
        <f aca="false">COUNTIF('Trade Tracker'!O5:O167,"OPEN")</f>
        <v>54</v>
      </c>
      <c r="E6" s="10" t="n">
        <f aca="false">IFERROR(COUNTIF('Trade Tracker'!O5:O167,"WIN")/(COUNTIF('Trade Tracker'!O5:O167,"WIN")+COUNTIF('Trade Tracker'!O5:O167,"LOSS")),0)</f>
        <v>0.770642201834862</v>
      </c>
      <c r="F6" s="11" t="n">
        <f aca="false">IFERROR(AVERAGEIF('Trade Tracker'!O5:O167,"WIN",'Trade Tracker'!P5:P167),0)</f>
        <v>0.24018344047619</v>
      </c>
      <c r="G6" s="12" t="n">
        <f aca="false">IFERROR(AVERAGEIF('Trade Tracker'!O5:O167,"LOSS",'Trade Tracker'!P5:P167),0)</f>
        <v>-0.04299296</v>
      </c>
      <c r="H6" s="11" t="n">
        <f aca="false">IFERROR(maxifs('Trade Tracker'!P5:P167,'Trade Tracker'!O5:O167,"WIN"),0)</f>
        <v>0</v>
      </c>
      <c r="I6" s="12" t="n">
        <f aca="false">IFERROR(minifs('Trade Tracker'!P5:P167,'Trade Tracker'!O5:O167,"LOSS"),0)</f>
        <v>0</v>
      </c>
      <c r="J6" s="13" t="n">
        <f aca="false">IFERROR(COUNTIF('Trade Tracker'!Q5:Q167,"T3")/COUNTIF('Trade Tracker'!O5:O167,"WIN"),0)</f>
        <v>0.404761904761905</v>
      </c>
    </row>
    <row r="8" customFormat="false" ht="6" hidden="false" customHeight="true" outlineLevel="0" collapsed="false"/>
    <row r="9" customFormat="false" ht="21.75" hidden="false" customHeight="true" outlineLevel="0" collapsed="false">
      <c r="A9" s="14" t="s">
        <v>292</v>
      </c>
      <c r="B9" s="14"/>
      <c r="C9" s="14"/>
      <c r="D9" s="14"/>
      <c r="E9" s="14"/>
      <c r="F9" s="14"/>
      <c r="H9" s="15" t="s">
        <v>293</v>
      </c>
      <c r="I9" s="15"/>
      <c r="J9" s="15"/>
    </row>
    <row r="10" customFormat="false" ht="18" hidden="false" customHeight="true" outlineLevel="0" collapsed="false">
      <c r="A10" s="5" t="s">
        <v>294</v>
      </c>
      <c r="B10" s="5" t="s">
        <v>295</v>
      </c>
      <c r="C10" s="5" t="s">
        <v>1</v>
      </c>
      <c r="D10" s="5" t="s">
        <v>296</v>
      </c>
      <c r="E10" s="5" t="s">
        <v>297</v>
      </c>
      <c r="F10" s="5" t="s">
        <v>298</v>
      </c>
      <c r="H10" s="5" t="s">
        <v>1</v>
      </c>
      <c r="I10" s="5" t="s">
        <v>299</v>
      </c>
      <c r="J10" s="5" t="s">
        <v>286</v>
      </c>
    </row>
    <row r="11" customFormat="false" ht="16.5" hidden="false" customHeight="true" outlineLevel="0" collapsed="false">
      <c r="A11" s="16" t="n">
        <v>1</v>
      </c>
      <c r="B11" s="17" t="str">
        <f aca="false">IFERROR(INDEX('Trade Tracker'!B$5:B$167,MATCH(LARGE(IF('Trade Tracker'!O$5:O$167="WIN",IF(ISNUMBER('Trade Tracker'!P$5:P$167),'Trade Tracker'!P$5:P$167)),1),'Trade Tracker'!P$5:P$167,0)),"–")</f>
        <v>MTARTECH</v>
      </c>
      <c r="C11" s="18" t="str">
        <f aca="false">IFERROR(INDEX('Trade Tracker'!S$5:S$167,MATCH(LARGE(IF('Trade Tracker'!O$5:O$167="WIN",IF(ISNUMBER('Trade Tracker'!P$5:P$167),'Trade Tracker'!P$5:P$167)),1),'Trade Tracker'!P$5:P$167,0)),"–")</f>
        <v>Defence</v>
      </c>
      <c r="D11" s="18" t="str">
        <f aca="false">IFERROR(INDEX('Trade Tracker'!D$5:D$167,MATCH(LARGE(IF('Trade Tracker'!O$5:O$167="WIN",IF(ISNUMBER('Trade Tracker'!P$5:P$167),'Trade Tracker'!P$5:P$167)),1),'Trade Tracker'!P$5:P$167,0)),"–")</f>
        <v>01 Feb 2026</v>
      </c>
      <c r="E11" s="18" t="str">
        <f aca="false">IFERROR(INDEX('Trade Tracker'!Q$5:Q$167,MATCH(LARGE(IF('Trade Tracker'!O$5:O$167="WIN",IF(ISNUMBER('Trade Tracker'!P$5:P$167),'Trade Tracker'!P$5:P$167)),1),'Trade Tracker'!P$5:P$167,0)),"–")</f>
        <v>T3</v>
      </c>
      <c r="F11" s="19" t="n">
        <f aca="false">IFERROR(INDEX('Trade Tracker'!P$5:P$167,MATCH(LARGE(IF('Trade Tracker'!O$5:O$167="WIN",IF(ISNUMBER('Trade Tracker'!P$5:P$167),'Trade Tracker'!P$5:P$167)),1),'Trade Tracker'!P$5:P$167,0)),"–")</f>
        <v>1.653061</v>
      </c>
      <c r="H11" s="20" t="s">
        <v>52</v>
      </c>
      <c r="I11" s="21" t="n">
        <v>2</v>
      </c>
      <c r="J11" s="22" t="n">
        <v>1</v>
      </c>
    </row>
    <row r="12" customFormat="false" ht="16.5" hidden="false" customHeight="true" outlineLevel="0" collapsed="false">
      <c r="A12" s="23" t="n">
        <v>2</v>
      </c>
      <c r="B12" s="24" t="str">
        <f aca="false">IFERROR(INDEX('Trade Tracker'!B$5:B$167,MATCH(LARGE(IF('Trade Tracker'!O$5:O$167="WIN",IF(ISNUMBER('Trade Tracker'!P$5:P$167),'Trade Tracker'!P$5:P$167)),2),'Trade Tracker'!P$5:P$167,0)),"–")</f>
        <v>–</v>
      </c>
      <c r="C12" s="25" t="str">
        <f aca="false">IFERROR(INDEX('Trade Tracker'!S$5:S$167,MATCH(LARGE(IF('Trade Tracker'!O$5:O$167="WIN",IF(ISNUMBER('Trade Tracker'!P$5:P$167),'Trade Tracker'!P$5:P$167)),2),'Trade Tracker'!P$5:P$167,0)),"–")</f>
        <v>–</v>
      </c>
      <c r="D12" s="25" t="str">
        <f aca="false">IFERROR(INDEX('Trade Tracker'!D$5:D$167,MATCH(LARGE(IF('Trade Tracker'!O$5:O$167="WIN",IF(ISNUMBER('Trade Tracker'!P$5:P$167),'Trade Tracker'!P$5:P$167)),2),'Trade Tracker'!P$5:P$167,0)),"–")</f>
        <v>–</v>
      </c>
      <c r="E12" s="25" t="str">
        <f aca="false">IFERROR(INDEX('Trade Tracker'!Q$5:Q$167,MATCH(LARGE(IF('Trade Tracker'!O$5:O$167="WIN",IF(ISNUMBER('Trade Tracker'!P$5:P$167),'Trade Tracker'!P$5:P$167)),2),'Trade Tracker'!P$5:P$167,0)),"–")</f>
        <v>–</v>
      </c>
      <c r="F12" s="26" t="str">
        <f aca="false">IFERROR(INDEX('Trade Tracker'!P$5:P$167,MATCH(LARGE(IF('Trade Tracker'!O$5:O$167="WIN",IF(ISNUMBER('Trade Tracker'!P$5:P$167),'Trade Tracker'!P$5:P$167)),2),'Trade Tracker'!P$5:P$167,0)),"–")</f>
        <v>–</v>
      </c>
      <c r="H12" s="27" t="s">
        <v>209</v>
      </c>
      <c r="I12" s="28" t="n">
        <v>2</v>
      </c>
      <c r="J12" s="29" t="n">
        <v>0</v>
      </c>
    </row>
    <row r="13" customFormat="false" ht="16.5" hidden="false" customHeight="true" outlineLevel="0" collapsed="false">
      <c r="A13" s="16" t="n">
        <v>3</v>
      </c>
      <c r="B13" s="17" t="str">
        <f aca="false">IFERROR(INDEX('Trade Tracker'!B$5:B$167,MATCH(LARGE(IF('Trade Tracker'!O$5:O$167="WIN",IF(ISNUMBER('Trade Tracker'!P$5:P$167),'Trade Tracker'!P$5:P$167)),3),'Trade Tracker'!P$5:P$167,0)),"–")</f>
        <v>JPPOWER</v>
      </c>
      <c r="C13" s="18" t="str">
        <f aca="false">IFERROR(INDEX('Trade Tracker'!S$5:S$167,MATCH(LARGE(IF('Trade Tracker'!O$5:O$167="WIN",IF(ISNUMBER('Trade Tracker'!P$5:P$167),'Trade Tracker'!P$5:P$167)),3),'Trade Tracker'!P$5:P$167,0)),"–")</f>
        <v>Power</v>
      </c>
      <c r="D13" s="18" t="str">
        <f aca="false">IFERROR(INDEX('Trade Tracker'!D$5:D$167,MATCH(LARGE(IF('Trade Tracker'!O$5:O$167="WIN",IF(ISNUMBER('Trade Tracker'!P$5:P$167),'Trade Tracker'!P$5:P$167)),3),'Trade Tracker'!P$5:P$167,0)),"–")</f>
        <v>01 Apr 2026</v>
      </c>
      <c r="E13" s="18" t="str">
        <f aca="false">IFERROR(INDEX('Trade Tracker'!Q$5:Q$167,MATCH(LARGE(IF('Trade Tracker'!O$5:O$167="WIN",IF(ISNUMBER('Trade Tracker'!P$5:P$167),'Trade Tracker'!P$5:P$167)),3),'Trade Tracker'!P$5:P$167,0)),"–")</f>
        <v>T3</v>
      </c>
      <c r="F13" s="19" t="n">
        <f aca="false">IFERROR(INDEX('Trade Tracker'!P$5:P$167,MATCH(LARGE(IF('Trade Tracker'!O$5:O$167="WIN",IF(ISNUMBER('Trade Tracker'!P$5:P$167),'Trade Tracker'!P$5:P$167)),3),'Trade Tracker'!P$5:P$167,0)),"–")</f>
        <v>1.142857</v>
      </c>
      <c r="H13" s="20" t="s">
        <v>13</v>
      </c>
      <c r="I13" s="21" t="n">
        <v>8</v>
      </c>
      <c r="J13" s="22" t="n">
        <v>0.75</v>
      </c>
    </row>
    <row r="14" customFormat="false" ht="16.5" hidden="false" customHeight="true" outlineLevel="0" collapsed="false">
      <c r="A14" s="23" t="n">
        <v>4</v>
      </c>
      <c r="B14" s="24" t="str">
        <f aca="false">IFERROR(INDEX('Trade Tracker'!B$5:B$167,MATCH(LARGE(IF('Trade Tracker'!O$5:O$167="WIN",IF(ISNUMBER('Trade Tracker'!P$5:P$167),'Trade Tracker'!P$5:P$167)),4),'Trade Tracker'!P$5:P$167,0)),"–")</f>
        <v>STLTECH</v>
      </c>
      <c r="C14" s="25" t="str">
        <f aca="false">IFERROR(INDEX('Trade Tracker'!S$5:S$167,MATCH(LARGE(IF('Trade Tracker'!O$5:O$167="WIN",IF(ISNUMBER('Trade Tracker'!P$5:P$167),'Trade Tracker'!P$5:P$167)),4),'Trade Tracker'!P$5:P$167,0)),"–")</f>
        <v>Telecom</v>
      </c>
      <c r="D14" s="25" t="str">
        <f aca="false">IFERROR(INDEX('Trade Tracker'!D$5:D$167,MATCH(LARGE(IF('Trade Tracker'!O$5:O$167="WIN",IF(ISNUMBER('Trade Tracker'!P$5:P$167),'Trade Tracker'!P$5:P$167)),4),'Trade Tracker'!P$5:P$167,0)),"–")</f>
        <v>08 Feb 2026</v>
      </c>
      <c r="E14" s="25" t="str">
        <f aca="false">IFERROR(INDEX('Trade Tracker'!Q$5:Q$167,MATCH(LARGE(IF('Trade Tracker'!O$5:O$167="WIN",IF(ISNUMBER('Trade Tracker'!P$5:P$167),'Trade Tracker'!P$5:P$167)),4),'Trade Tracker'!P$5:P$167,0)),"–")</f>
        <v>T3</v>
      </c>
      <c r="F14" s="26" t="n">
        <f aca="false">IFERROR(INDEX('Trade Tracker'!P$5:P$167,MATCH(LARGE(IF('Trade Tracker'!O$5:O$167="WIN",IF(ISNUMBER('Trade Tracker'!P$5:P$167),'Trade Tracker'!P$5:P$167)),4),'Trade Tracker'!P$5:P$167,0)),"–")</f>
        <v>0.787879</v>
      </c>
      <c r="H14" s="27" t="s">
        <v>237</v>
      </c>
      <c r="I14" s="28" t="n">
        <v>2</v>
      </c>
      <c r="J14" s="30" t="n">
        <v>1</v>
      </c>
    </row>
    <row r="15" customFormat="false" ht="16.5" hidden="false" customHeight="true" outlineLevel="0" collapsed="false">
      <c r="A15" s="16" t="n">
        <v>5</v>
      </c>
      <c r="B15" s="17" t="str">
        <f aca="false">IFERROR(INDEX('Trade Tracker'!B$5:B$167,MATCH(LARGE(IF('Trade Tracker'!O$5:O$167="WIN",IF(ISNUMBER('Trade Tracker'!P$5:P$167),'Trade Tracker'!P$5:P$167)),5),'Trade Tracker'!P$5:P$167,0)),"–")</f>
        <v>–</v>
      </c>
      <c r="C15" s="18" t="str">
        <f aca="false">IFERROR(INDEX('Trade Tracker'!S$5:S$167,MATCH(LARGE(IF('Trade Tracker'!O$5:O$167="WIN",IF(ISNUMBER('Trade Tracker'!P$5:P$167),'Trade Tracker'!P$5:P$167)),5),'Trade Tracker'!P$5:P$167,0)),"–")</f>
        <v>–</v>
      </c>
      <c r="D15" s="18" t="str">
        <f aca="false">IFERROR(INDEX('Trade Tracker'!D$5:D$167,MATCH(LARGE(IF('Trade Tracker'!O$5:O$167="WIN",IF(ISNUMBER('Trade Tracker'!P$5:P$167),'Trade Tracker'!P$5:P$167)),5),'Trade Tracker'!P$5:P$167,0)),"–")</f>
        <v>–</v>
      </c>
      <c r="E15" s="18" t="str">
        <f aca="false">IFERROR(INDEX('Trade Tracker'!Q$5:Q$167,MATCH(LARGE(IF('Trade Tracker'!O$5:O$167="WIN",IF(ISNUMBER('Trade Tracker'!P$5:P$167),'Trade Tracker'!P$5:P$167)),5),'Trade Tracker'!P$5:P$167,0)),"–")</f>
        <v>–</v>
      </c>
      <c r="F15" s="19" t="str">
        <f aca="false">IFERROR(INDEX('Trade Tracker'!P$5:P$167,MATCH(LARGE(IF('Trade Tracker'!O$5:O$167="WIN",IF(ISNUMBER('Trade Tracker'!P$5:P$167),'Trade Tracker'!P$5:P$167)),5),'Trade Tracker'!P$5:P$167,0)),"–")</f>
        <v>–</v>
      </c>
      <c r="H15" s="20" t="s">
        <v>10</v>
      </c>
      <c r="I15" s="21" t="n">
        <v>7</v>
      </c>
      <c r="J15" s="31" t="n">
        <v>0.571428571428571</v>
      </c>
    </row>
    <row r="16" customFormat="false" ht="16.5" hidden="false" customHeight="true" outlineLevel="0" collapsed="false">
      <c r="A16" s="23" t="n">
        <v>6</v>
      </c>
      <c r="B16" s="24" t="str">
        <f aca="false">IFERROR(INDEX('Trade Tracker'!B$5:B$167,MATCH(LARGE(IF('Trade Tracker'!O$5:O$167="WIN",IF(ISNUMBER('Trade Tracker'!P$5:P$167),'Trade Tracker'!P$5:P$167)),6),'Trade Tracker'!P$5:P$167,0)),"–")</f>
        <v>BSE</v>
      </c>
      <c r="C16" s="25" t="str">
        <f aca="false">IFERROR(INDEX('Trade Tracker'!S$5:S$167,MATCH(LARGE(IF('Trade Tracker'!O$5:O$167="WIN",IF(ISNUMBER('Trade Tracker'!P$5:P$167),'Trade Tracker'!P$5:P$167)),6),'Trade Tracker'!P$5:P$167,0)),"–")</f>
        <v>Finance</v>
      </c>
      <c r="D16" s="25" t="str">
        <f aca="false">IFERROR(INDEX('Trade Tracker'!D$5:D$167,MATCH(LARGE(IF('Trade Tracker'!O$5:O$167="WIN",IF(ISNUMBER('Trade Tracker'!P$5:P$167),'Trade Tracker'!P$5:P$167)),6),'Trade Tracker'!P$5:P$167,0)),"–")</f>
        <v>03 Nov 2025</v>
      </c>
      <c r="E16" s="25" t="str">
        <f aca="false">IFERROR(INDEX('Trade Tracker'!Q$5:Q$167,MATCH(LARGE(IF('Trade Tracker'!O$5:O$167="WIN",IF(ISNUMBER('Trade Tracker'!P$5:P$167),'Trade Tracker'!P$5:P$167)),6),'Trade Tracker'!P$5:P$167,0)),"–")</f>
        <v>T3</v>
      </c>
      <c r="F16" s="26" t="n">
        <f aca="false">IFERROR(INDEX('Trade Tracker'!P$5:P$167,MATCH(LARGE(IF('Trade Tracker'!O$5:O$167="WIN",IF(ISNUMBER('Trade Tracker'!P$5:P$167),'Trade Tracker'!P$5:P$167)),6),'Trade Tracker'!P$5:P$167,0)),"–")</f>
        <v>0.562</v>
      </c>
      <c r="H16" s="27" t="s">
        <v>19</v>
      </c>
      <c r="I16" s="28" t="n">
        <v>1</v>
      </c>
      <c r="J16" s="30" t="n">
        <v>1</v>
      </c>
    </row>
    <row r="17" customFormat="false" ht="16.5" hidden="false" customHeight="true" outlineLevel="0" collapsed="false">
      <c r="A17" s="16" t="n">
        <v>7</v>
      </c>
      <c r="B17" s="17" t="str">
        <f aca="false">IFERROR(INDEX('Trade Tracker'!B$5:B$167,MATCH(LARGE(IF('Trade Tracker'!O$5:O$167="WIN",IF(ISNUMBER('Trade Tracker'!P$5:P$167),'Trade Tracker'!P$5:P$167)),7),'Trade Tracker'!P$5:P$167,0)),"–")</f>
        <v>PRECWIRE</v>
      </c>
      <c r="C17" s="18" t="str">
        <f aca="false">IFERROR(INDEX('Trade Tracker'!S$5:S$167,MATCH(LARGE(IF('Trade Tracker'!O$5:O$167="WIN",IF(ISNUMBER('Trade Tracker'!P$5:P$167),'Trade Tracker'!P$5:P$167)),7),'Trade Tracker'!P$5:P$167,0)),"–")</f>
        <v>Industrials</v>
      </c>
      <c r="D17" s="18" t="str">
        <f aca="false">IFERROR(INDEX('Trade Tracker'!D$5:D$167,MATCH(LARGE(IF('Trade Tracker'!O$5:O$167="WIN",IF(ISNUMBER('Trade Tracker'!P$5:P$167),'Trade Tracker'!P$5:P$167)),7),'Trade Tracker'!P$5:P$167,0)),"–")</f>
        <v>27 Jan 2026</v>
      </c>
      <c r="E17" s="18" t="str">
        <f aca="false">IFERROR(INDEX('Trade Tracker'!Q$5:Q$167,MATCH(LARGE(IF('Trade Tracker'!O$5:O$167="WIN",IF(ISNUMBER('Trade Tracker'!P$5:P$167),'Trade Tracker'!P$5:P$167)),7),'Trade Tracker'!P$5:P$167,0)),"–")</f>
        <v>T3</v>
      </c>
      <c r="F17" s="19" t="n">
        <f aca="false">IFERROR(INDEX('Trade Tracker'!P$5:P$167,MATCH(LARGE(IF('Trade Tracker'!O$5:O$167="WIN",IF(ISNUMBER('Trade Tracker'!P$5:P$167),'Trade Tracker'!P$5:P$167)),7),'Trade Tracker'!P$5:P$167,0)),"–")</f>
        <v>0.491228</v>
      </c>
      <c r="H17" s="20" t="s">
        <v>159</v>
      </c>
      <c r="I17" s="21" t="n">
        <v>1</v>
      </c>
      <c r="J17" s="32" t="n">
        <v>0</v>
      </c>
    </row>
    <row r="18" customFormat="false" ht="16.5" hidden="false" customHeight="true" outlineLevel="0" collapsed="false">
      <c r="A18" s="23" t="n">
        <v>8</v>
      </c>
      <c r="B18" s="24" t="str">
        <f aca="false">IFERROR(INDEX('Trade Tracker'!B$5:B$167,MATCH(LARGE(IF('Trade Tracker'!O$5:O$167="WIN",IF(ISNUMBER('Trade Tracker'!P$5:P$167),'Trade Tracker'!P$5:P$167)),8),'Trade Tracker'!P$5:P$167,0)),"–")</f>
        <v>–</v>
      </c>
      <c r="C18" s="25" t="str">
        <f aca="false">IFERROR(INDEX('Trade Tracker'!S$5:S$167,MATCH(LARGE(IF('Trade Tracker'!O$5:O$167="WIN",IF(ISNUMBER('Trade Tracker'!P$5:P$167),'Trade Tracker'!P$5:P$167)),8),'Trade Tracker'!P$5:P$167,0)),"–")</f>
        <v>–</v>
      </c>
      <c r="D18" s="25" t="str">
        <f aca="false">IFERROR(INDEX('Trade Tracker'!D$5:D$167,MATCH(LARGE(IF('Trade Tracker'!O$5:O$167="WIN",IF(ISNUMBER('Trade Tracker'!P$5:P$167),'Trade Tracker'!P$5:P$167)),8),'Trade Tracker'!P$5:P$167,0)),"–")</f>
        <v>–</v>
      </c>
      <c r="E18" s="25" t="str">
        <f aca="false">IFERROR(INDEX('Trade Tracker'!Q$5:Q$167,MATCH(LARGE(IF('Trade Tracker'!O$5:O$167="WIN",IF(ISNUMBER('Trade Tracker'!P$5:P$167),'Trade Tracker'!P$5:P$167)),8),'Trade Tracker'!P$5:P$167,0)),"–")</f>
        <v>–</v>
      </c>
      <c r="F18" s="26" t="str">
        <f aca="false">IFERROR(INDEX('Trade Tracker'!P$5:P$167,MATCH(LARGE(IF('Trade Tracker'!O$5:O$167="WIN",IF(ISNUMBER('Trade Tracker'!P$5:P$167),'Trade Tracker'!P$5:P$167)),8),'Trade Tracker'!P$5:P$167,0)),"–")</f>
        <v>–</v>
      </c>
      <c r="H18" s="27" t="s">
        <v>32</v>
      </c>
      <c r="I18" s="28" t="n">
        <v>3</v>
      </c>
      <c r="J18" s="29" t="n">
        <v>0.333333333333333</v>
      </c>
    </row>
    <row r="19" customFormat="false" ht="16.5" hidden="false" customHeight="true" outlineLevel="0" collapsed="false">
      <c r="A19" s="16" t="n">
        <v>9</v>
      </c>
      <c r="B19" s="17" t="str">
        <f aca="false">IFERROR(INDEX('Trade Tracker'!B$5:B$167,MATCH(LARGE(IF('Trade Tracker'!O$5:O$167="WIN",IF(ISNUMBER('Trade Tracker'!P$5:P$167),'Trade Tracker'!P$5:P$167)),9),'Trade Tracker'!P$5:P$167,0)),"–")</f>
        <v>–</v>
      </c>
      <c r="C19" s="18" t="str">
        <f aca="false">IFERROR(INDEX('Trade Tracker'!S$5:S$167,MATCH(LARGE(IF('Trade Tracker'!O$5:O$167="WIN",IF(ISNUMBER('Trade Tracker'!P$5:P$167),'Trade Tracker'!P$5:P$167)),9),'Trade Tracker'!P$5:P$167,0)),"–")</f>
        <v>–</v>
      </c>
      <c r="D19" s="18" t="str">
        <f aca="false">IFERROR(INDEX('Trade Tracker'!D$5:D$167,MATCH(LARGE(IF('Trade Tracker'!O$5:O$167="WIN",IF(ISNUMBER('Trade Tracker'!P$5:P$167),'Trade Tracker'!P$5:P$167)),9),'Trade Tracker'!P$5:P$167,0)),"–")</f>
        <v>–</v>
      </c>
      <c r="E19" s="18" t="str">
        <f aca="false">IFERROR(INDEX('Trade Tracker'!Q$5:Q$167,MATCH(LARGE(IF('Trade Tracker'!O$5:O$167="WIN",IF(ISNUMBER('Trade Tracker'!P$5:P$167),'Trade Tracker'!P$5:P$167)),9),'Trade Tracker'!P$5:P$167,0)),"–")</f>
        <v>–</v>
      </c>
      <c r="F19" s="19" t="str">
        <f aca="false">IFERROR(INDEX('Trade Tracker'!P$5:P$167,MATCH(LARGE(IF('Trade Tracker'!O$5:O$167="WIN",IF(ISNUMBER('Trade Tracker'!P$5:P$167),'Trade Tracker'!P$5:P$167)),9),'Trade Tracker'!P$5:P$167,0)),"–")</f>
        <v>–</v>
      </c>
      <c r="H19" s="20" t="s">
        <v>47</v>
      </c>
      <c r="I19" s="21" t="n">
        <v>6</v>
      </c>
      <c r="J19" s="22" t="n">
        <v>1</v>
      </c>
    </row>
    <row r="20" customFormat="false" ht="16.5" hidden="false" customHeight="true" outlineLevel="0" collapsed="false">
      <c r="A20" s="23" t="n">
        <v>10</v>
      </c>
      <c r="B20" s="24" t="str">
        <f aca="false">IFERROR(INDEX('Trade Tracker'!B$5:B$167,MATCH(LARGE(IF('Trade Tracker'!O$5:O$167="WIN",IF(ISNUMBER('Trade Tracker'!P$5:P$167),'Trade Tracker'!P$5:P$167)),10),'Trade Tracker'!P$5:P$167,0)),"–")</f>
        <v>–</v>
      </c>
      <c r="C20" s="25" t="str">
        <f aca="false">IFERROR(INDEX('Trade Tracker'!S$5:S$167,MATCH(LARGE(IF('Trade Tracker'!O$5:O$167="WIN",IF(ISNUMBER('Trade Tracker'!P$5:P$167),'Trade Tracker'!P$5:P$167)),10),'Trade Tracker'!P$5:P$167,0)),"–")</f>
        <v>–</v>
      </c>
      <c r="D20" s="25" t="str">
        <f aca="false">IFERROR(INDEX('Trade Tracker'!D$5:D$167,MATCH(LARGE(IF('Trade Tracker'!O$5:O$167="WIN",IF(ISNUMBER('Trade Tracker'!P$5:P$167),'Trade Tracker'!P$5:P$167)),10),'Trade Tracker'!P$5:P$167,0)),"–")</f>
        <v>–</v>
      </c>
      <c r="E20" s="25" t="str">
        <f aca="false">IFERROR(INDEX('Trade Tracker'!Q$5:Q$167,MATCH(LARGE(IF('Trade Tracker'!O$5:O$167="WIN",IF(ISNUMBER('Trade Tracker'!P$5:P$167),'Trade Tracker'!P$5:P$167)),10),'Trade Tracker'!P$5:P$167,0)),"–")</f>
        <v>–</v>
      </c>
      <c r="F20" s="26" t="str">
        <f aca="false">IFERROR(INDEX('Trade Tracker'!P$5:P$167,MATCH(LARGE(IF('Trade Tracker'!O$5:O$167="WIN",IF(ISNUMBER('Trade Tracker'!P$5:P$167),'Trade Tracker'!P$5:P$167)),10),'Trade Tracker'!P$5:P$167,0)),"–")</f>
        <v>–</v>
      </c>
      <c r="H20" s="27" t="s">
        <v>29</v>
      </c>
      <c r="I20" s="28" t="n">
        <v>5</v>
      </c>
      <c r="J20" s="30" t="n">
        <v>1</v>
      </c>
    </row>
    <row r="21" customFormat="false" ht="16.5" hidden="false" customHeight="true" outlineLevel="0" collapsed="false">
      <c r="H21" s="20" t="s">
        <v>147</v>
      </c>
      <c r="I21" s="21" t="n">
        <v>1</v>
      </c>
      <c r="J21" s="22" t="n">
        <v>1</v>
      </c>
    </row>
    <row r="22" customFormat="false" ht="16.5" hidden="false" customHeight="true" outlineLevel="0" collapsed="false">
      <c r="A22" s="33" t="s">
        <v>300</v>
      </c>
      <c r="B22" s="33"/>
      <c r="C22" s="33"/>
      <c r="D22" s="33"/>
      <c r="E22" s="33"/>
      <c r="F22" s="33"/>
      <c r="H22" s="27" t="s">
        <v>4</v>
      </c>
      <c r="I22" s="28" t="n">
        <v>6</v>
      </c>
      <c r="J22" s="34" t="n">
        <v>0.5</v>
      </c>
    </row>
    <row r="23" customFormat="false" ht="16.5" hidden="false" customHeight="true" outlineLevel="0" collapsed="false">
      <c r="A23" s="5" t="s">
        <v>294</v>
      </c>
      <c r="B23" s="5" t="s">
        <v>295</v>
      </c>
      <c r="C23" s="5" t="s">
        <v>1</v>
      </c>
      <c r="D23" s="5" t="s">
        <v>296</v>
      </c>
      <c r="E23" s="5" t="s">
        <v>301</v>
      </c>
      <c r="F23" s="5" t="s">
        <v>302</v>
      </c>
      <c r="H23" s="20" t="s">
        <v>111</v>
      </c>
      <c r="I23" s="21" t="n">
        <v>2</v>
      </c>
      <c r="J23" s="31" t="n">
        <v>0.5</v>
      </c>
    </row>
    <row r="24" customFormat="false" ht="16.5" hidden="false" customHeight="true" outlineLevel="0" collapsed="false">
      <c r="A24" s="16" t="n">
        <v>1</v>
      </c>
      <c r="B24" s="35" t="str">
        <f aca="false">IFERROR(INDEX('Trade Tracker'!B$5:B$167,MATCH(SMALL(IF('Trade Tracker'!O$5:O$167="LOSS",IF(ISNUMBER('Trade Tracker'!P$5:P$167),'Trade Tracker'!P$5:P$167)),1),'Trade Tracker'!P$5:P$167,0)),"–")</f>
        <v>POLYMED</v>
      </c>
      <c r="C24" s="18" t="str">
        <f aca="false">IFERROR(INDEX('Trade Tracker'!S$5:S$167,MATCH(SMALL(IF('Trade Tracker'!O$5:O$167="LOSS",IF(ISNUMBER('Trade Tracker'!P$5:P$167),'Trade Tracker'!P$5:P$167)),1),'Trade Tracker'!P$5:P$167,0)),"–")</f>
        <v>Healthcare</v>
      </c>
      <c r="D24" s="18" t="str">
        <f aca="false">IFERROR(INDEX('Trade Tracker'!D$5:D$167,MATCH(SMALL(IF('Trade Tracker'!O$5:O$167="LOSS",IF(ISNUMBER('Trade Tracker'!P$5:P$167),'Trade Tracker'!P$5:P$167)),1),'Trade Tracker'!P$5:P$167,0)),"–")</f>
        <v>24 Nov 2025</v>
      </c>
      <c r="E24" s="18" t="str">
        <f aca="false">IFERROR(INDEX('Trade Tracker'!Q$5:Q$167,MATCH(SMALL(IF('Trade Tracker'!O$5:O$167="LOSS",IF(ISNUMBER('Trade Tracker'!P$5:P$167),'Trade Tracker'!P$5:P$167)),1),'Trade Tracker'!P$5:P$167,0)),"–")</f>
        <v>T4</v>
      </c>
      <c r="F24" s="36" t="n">
        <f aca="false">IFERROR(INDEX('Trade Tracker'!P$5:P$167,MATCH(SMALL(IF('Trade Tracker'!O$5:O$167="LOSS",IF(ISNUMBER('Trade Tracker'!P$5:P$167),'Trade Tracker'!P$5:P$167)),1),'Trade Tracker'!P$5:P$167,0)),"–")</f>
        <v>0</v>
      </c>
      <c r="H24" s="27" t="s">
        <v>126</v>
      </c>
      <c r="I24" s="28" t="n">
        <v>9</v>
      </c>
      <c r="J24" s="34" t="n">
        <v>0.555555555555556</v>
      </c>
    </row>
    <row r="25" customFormat="false" ht="16.5" hidden="false" customHeight="true" outlineLevel="0" collapsed="false">
      <c r="A25" s="37" t="n">
        <v>2</v>
      </c>
      <c r="B25" s="38" t="str">
        <f aca="false">IFERROR(INDEX('Trade Tracker'!B$5:B$167,MATCH(SMALL(IF('Trade Tracker'!O$5:O$167="LOSS",IF(ISNUMBER('Trade Tracker'!P$5:P$167),'Trade Tracker'!P$5:P$167)),2),'Trade Tracker'!P$5:P$167,0)),"–")</f>
        <v>–</v>
      </c>
      <c r="C25" s="39" t="str">
        <f aca="false">IFERROR(INDEX('Trade Tracker'!S$5:S$167,MATCH(SMALL(IF('Trade Tracker'!O$5:O$167="LOSS",IF(ISNUMBER('Trade Tracker'!P$5:P$167),'Trade Tracker'!P$5:P$167)),2),'Trade Tracker'!P$5:P$167,0)),"–")</f>
        <v>–</v>
      </c>
      <c r="D25" s="39" t="str">
        <f aca="false">IFERROR(INDEX('Trade Tracker'!D$5:D$167,MATCH(SMALL(IF('Trade Tracker'!O$5:O$167="LOSS",IF(ISNUMBER('Trade Tracker'!P$5:P$167),'Trade Tracker'!P$5:P$167)),2),'Trade Tracker'!P$5:P$167,0)),"–")</f>
        <v>–</v>
      </c>
      <c r="E25" s="39" t="str">
        <f aca="false">IFERROR(INDEX('Trade Tracker'!Q$5:Q$167,MATCH(SMALL(IF('Trade Tracker'!O$5:O$167="LOSS",IF(ISNUMBER('Trade Tracker'!P$5:P$167),'Trade Tracker'!P$5:P$167)),2),'Trade Tracker'!P$5:P$167,0)),"–")</f>
        <v>–</v>
      </c>
      <c r="F25" s="40" t="str">
        <f aca="false">IFERROR(INDEX('Trade Tracker'!P$5:P$167,MATCH(SMALL(IF('Trade Tracker'!O$5:O$167="LOSS",IF(ISNUMBER('Trade Tracker'!P$5:P$167),'Trade Tracker'!P$5:P$167)),2),'Trade Tracker'!P$5:P$167,0)),"–")</f>
        <v>–</v>
      </c>
      <c r="H25" s="20" t="s">
        <v>102</v>
      </c>
      <c r="I25" s="21" t="n">
        <v>3</v>
      </c>
      <c r="J25" s="31" t="n">
        <v>0.666666666666667</v>
      </c>
    </row>
    <row r="26" customFormat="false" ht="16.5" hidden="false" customHeight="true" outlineLevel="0" collapsed="false">
      <c r="A26" s="16" t="n">
        <v>3</v>
      </c>
      <c r="B26" s="35" t="str">
        <f aca="false">IFERROR(INDEX('Trade Tracker'!B$5:B$167,MATCH(SMALL(IF('Trade Tracker'!O$5:O$167="LOSS",IF(ISNUMBER('Trade Tracker'!P$5:P$167),'Trade Tracker'!P$5:P$167)),3),'Trade Tracker'!P$5:P$167,0)),"–")</f>
        <v>–</v>
      </c>
      <c r="C26" s="18" t="str">
        <f aca="false">IFERROR(INDEX('Trade Tracker'!S$5:S$167,MATCH(SMALL(IF('Trade Tracker'!O$5:O$167="LOSS",IF(ISNUMBER('Trade Tracker'!P$5:P$167),'Trade Tracker'!P$5:P$167)),3),'Trade Tracker'!P$5:P$167,0)),"–")</f>
        <v>–</v>
      </c>
      <c r="D26" s="18" t="str">
        <f aca="false">IFERROR(INDEX('Trade Tracker'!D$5:D$167,MATCH(SMALL(IF('Trade Tracker'!O$5:O$167="LOSS",IF(ISNUMBER('Trade Tracker'!P$5:P$167),'Trade Tracker'!P$5:P$167)),3),'Trade Tracker'!P$5:P$167,0)),"–")</f>
        <v>–</v>
      </c>
      <c r="E26" s="18" t="str">
        <f aca="false">IFERROR(INDEX('Trade Tracker'!Q$5:Q$167,MATCH(SMALL(IF('Trade Tracker'!O$5:O$167="LOSS",IF(ISNUMBER('Trade Tracker'!P$5:P$167),'Trade Tracker'!P$5:P$167)),3),'Trade Tracker'!P$5:P$167,0)),"–")</f>
        <v>–</v>
      </c>
      <c r="F26" s="36" t="str">
        <f aca="false">IFERROR(INDEX('Trade Tracker'!P$5:P$167,MATCH(SMALL(IF('Trade Tracker'!O$5:O$167="LOSS",IF(ISNUMBER('Trade Tracker'!P$5:P$167),'Trade Tracker'!P$5:P$167)),3),'Trade Tracker'!P$5:P$167,0)),"–")</f>
        <v>–</v>
      </c>
      <c r="H26" s="27" t="s">
        <v>166</v>
      </c>
      <c r="I26" s="28" t="n">
        <v>1</v>
      </c>
      <c r="J26" s="29" t="n">
        <v>0</v>
      </c>
    </row>
    <row r="27" customFormat="false" ht="16.5" hidden="false" customHeight="true" outlineLevel="0" collapsed="false">
      <c r="A27" s="37" t="n">
        <v>4</v>
      </c>
      <c r="B27" s="38" t="str">
        <f aca="false">IFERROR(INDEX('Trade Tracker'!B$5:B$167,MATCH(SMALL(IF('Trade Tracker'!O$5:O$167="LOSS",IF(ISNUMBER('Trade Tracker'!P$5:P$167),'Trade Tracker'!P$5:P$167)),4),'Trade Tracker'!P$5:P$167,0)),"–")</f>
        <v>–</v>
      </c>
      <c r="C27" s="39" t="str">
        <f aca="false">IFERROR(INDEX('Trade Tracker'!S$5:S$167,MATCH(SMALL(IF('Trade Tracker'!O$5:O$167="LOSS",IF(ISNUMBER('Trade Tracker'!P$5:P$167),'Trade Tracker'!P$5:P$167)),4),'Trade Tracker'!P$5:P$167,0)),"–")</f>
        <v>–</v>
      </c>
      <c r="D27" s="39" t="str">
        <f aca="false">IFERROR(INDEX('Trade Tracker'!D$5:D$167,MATCH(SMALL(IF('Trade Tracker'!O$5:O$167="LOSS",IF(ISNUMBER('Trade Tracker'!P$5:P$167),'Trade Tracker'!P$5:P$167)),4),'Trade Tracker'!P$5:P$167,0)),"–")</f>
        <v>–</v>
      </c>
      <c r="E27" s="39" t="str">
        <f aca="false">IFERROR(INDEX('Trade Tracker'!Q$5:Q$167,MATCH(SMALL(IF('Trade Tracker'!O$5:O$167="LOSS",IF(ISNUMBER('Trade Tracker'!P$5:P$167),'Trade Tracker'!P$5:P$167)),4),'Trade Tracker'!P$5:P$167,0)),"–")</f>
        <v>–</v>
      </c>
      <c r="F27" s="40" t="str">
        <f aca="false">IFERROR(INDEX('Trade Tracker'!P$5:P$167,MATCH(SMALL(IF('Trade Tracker'!O$5:O$167="LOSS",IF(ISNUMBER('Trade Tracker'!P$5:P$167),'Trade Tracker'!P$5:P$167)),4),'Trade Tracker'!P$5:P$167,0)),"–")</f>
        <v>–</v>
      </c>
      <c r="H27" s="20" t="s">
        <v>7</v>
      </c>
      <c r="I27" s="21" t="n">
        <v>7</v>
      </c>
      <c r="J27" s="22" t="n">
        <v>0.714285714285714</v>
      </c>
    </row>
    <row r="28" customFormat="false" ht="16.5" hidden="false" customHeight="true" outlineLevel="0" collapsed="false">
      <c r="A28" s="16" t="n">
        <v>5</v>
      </c>
      <c r="B28" s="35" t="str">
        <f aca="false">IFERROR(INDEX('Trade Tracker'!B$5:B$167,MATCH(SMALL(IF('Trade Tracker'!O$5:O$167="LOSS",IF(ISNUMBER('Trade Tracker'!P$5:P$167),'Trade Tracker'!P$5:P$167)),5),'Trade Tracker'!P$5:P$167,0)),"–")</f>
        <v>–</v>
      </c>
      <c r="C28" s="18" t="str">
        <f aca="false">IFERROR(INDEX('Trade Tracker'!S$5:S$167,MATCH(SMALL(IF('Trade Tracker'!O$5:O$167="LOSS",IF(ISNUMBER('Trade Tracker'!P$5:P$167),'Trade Tracker'!P$5:P$167)),5),'Trade Tracker'!P$5:P$167,0)),"–")</f>
        <v>–</v>
      </c>
      <c r="D28" s="18" t="str">
        <f aca="false">IFERROR(INDEX('Trade Tracker'!D$5:D$167,MATCH(SMALL(IF('Trade Tracker'!O$5:O$167="LOSS",IF(ISNUMBER('Trade Tracker'!P$5:P$167),'Trade Tracker'!P$5:P$167)),5),'Trade Tracker'!P$5:P$167,0)),"–")</f>
        <v>–</v>
      </c>
      <c r="E28" s="18" t="str">
        <f aca="false">IFERROR(INDEX('Trade Tracker'!Q$5:Q$167,MATCH(SMALL(IF('Trade Tracker'!O$5:O$167="LOSS",IF(ISNUMBER('Trade Tracker'!P$5:P$167),'Trade Tracker'!P$5:P$167)),5),'Trade Tracker'!P$5:P$167,0)),"–")</f>
        <v>–</v>
      </c>
      <c r="F28" s="36" t="str">
        <f aca="false">IFERROR(INDEX('Trade Tracker'!P$5:P$167,MATCH(SMALL(IF('Trade Tracker'!O$5:O$167="LOSS",IF(ISNUMBER('Trade Tracker'!P$5:P$167),'Trade Tracker'!P$5:P$167)),5),'Trade Tracker'!P$5:P$167,0)),"–")</f>
        <v>–</v>
      </c>
      <c r="H28" s="27" t="s">
        <v>65</v>
      </c>
      <c r="I28" s="28" t="n">
        <v>8</v>
      </c>
      <c r="J28" s="30" t="n">
        <v>1</v>
      </c>
    </row>
    <row r="29" customFormat="false" ht="16.5" hidden="false" customHeight="true" outlineLevel="0" collapsed="false">
      <c r="H29" s="20" t="s">
        <v>224</v>
      </c>
      <c r="I29" s="21" t="n">
        <v>1</v>
      </c>
      <c r="J29" s="22" t="n">
        <v>1</v>
      </c>
    </row>
    <row r="30" customFormat="false" ht="16.5" hidden="false" customHeight="true" outlineLevel="0" collapsed="false">
      <c r="H30" s="27" t="s">
        <v>75</v>
      </c>
      <c r="I30" s="28" t="n">
        <v>2</v>
      </c>
      <c r="J30" s="30" t="n">
        <v>1</v>
      </c>
    </row>
    <row r="31" customFormat="false" ht="16.5" hidden="false" customHeight="true" outlineLevel="0" collapsed="false">
      <c r="H31" s="20" t="s">
        <v>129</v>
      </c>
      <c r="I31" s="21" t="n">
        <v>1</v>
      </c>
      <c r="J31" s="22" t="n">
        <v>1</v>
      </c>
    </row>
    <row r="32" customFormat="false" ht="16.5" hidden="false" customHeight="true" outlineLevel="0" collapsed="false">
      <c r="H32" s="27" t="s">
        <v>22</v>
      </c>
      <c r="I32" s="28" t="n">
        <v>13</v>
      </c>
      <c r="J32" s="30" t="n">
        <v>0.923076923076923</v>
      </c>
    </row>
    <row r="33" customFormat="false" ht="16.5" hidden="false" customHeight="true" outlineLevel="0" collapsed="false">
      <c r="H33" s="20" t="s">
        <v>38</v>
      </c>
      <c r="I33" s="21" t="n">
        <v>8</v>
      </c>
      <c r="J33" s="22" t="n">
        <v>0.875</v>
      </c>
    </row>
    <row r="34" customFormat="false" ht="16.5" hidden="false" customHeight="true" outlineLevel="0" collapsed="false">
      <c r="H34" s="27" t="s">
        <v>192</v>
      </c>
      <c r="I34" s="28" t="n">
        <v>0</v>
      </c>
      <c r="J34" s="29" t="n">
        <v>0</v>
      </c>
    </row>
    <row r="35" customFormat="false" ht="16.5" hidden="false" customHeight="true" outlineLevel="0" collapsed="false">
      <c r="H35" s="20" t="s">
        <v>16</v>
      </c>
      <c r="I35" s="21" t="n">
        <v>3</v>
      </c>
      <c r="J35" s="22" t="n">
        <v>1</v>
      </c>
    </row>
    <row r="36" customFormat="false" ht="16.5" hidden="false" customHeight="true" outlineLevel="0" collapsed="false">
      <c r="H36" s="27" t="s">
        <v>35</v>
      </c>
      <c r="I36" s="28" t="n">
        <v>2</v>
      </c>
      <c r="J36" s="30" t="n">
        <v>1</v>
      </c>
    </row>
    <row r="37" customFormat="false" ht="16.5" hidden="false" customHeight="true" outlineLevel="0" collapsed="false">
      <c r="H37" s="20" t="s">
        <v>258</v>
      </c>
      <c r="I37" s="21" t="n">
        <v>1</v>
      </c>
      <c r="J37" s="32" t="n">
        <v>0</v>
      </c>
    </row>
    <row r="38" customFormat="false" ht="16.5" hidden="false" customHeight="true" outlineLevel="0" collapsed="false">
      <c r="H38" s="27" t="s">
        <v>142</v>
      </c>
      <c r="I38" s="28" t="n">
        <v>1</v>
      </c>
      <c r="J38" s="30" t="n">
        <v>1</v>
      </c>
    </row>
    <row r="39" customFormat="false" ht="16.5" hidden="false" customHeight="true" outlineLevel="0" collapsed="false">
      <c r="H39" s="20" t="s">
        <v>70</v>
      </c>
      <c r="I39" s="21" t="n">
        <v>2</v>
      </c>
      <c r="J39" s="22" t="n">
        <v>1</v>
      </c>
    </row>
    <row r="40" customFormat="false" ht="16.5" hidden="false" customHeight="true" outlineLevel="0" collapsed="false">
      <c r="H40" s="27" t="s">
        <v>49</v>
      </c>
      <c r="I40" s="28" t="n">
        <v>1</v>
      </c>
      <c r="J40" s="30" t="n">
        <v>1</v>
      </c>
    </row>
  </sheetData>
  <mergeCells count="6">
    <mergeCell ref="A1:J1"/>
    <mergeCell ref="A2:J2"/>
    <mergeCell ref="A3:J3"/>
    <mergeCell ref="A9:F9"/>
    <mergeCell ref="H9:J9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12" min="9" style="0" width="9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8" min="17" style="0" width="8"/>
    <col collapsed="false" customWidth="true" hidden="false" outlineLevel="0" max="19" min="19" style="0" width="12"/>
    <col collapsed="false" customWidth="true" hidden="false" outlineLevel="0" max="20" min="20" style="0" width="20"/>
    <col collapsed="false" customWidth="true" hidden="false" outlineLevel="0" max="21" min="21" style="0" width="12"/>
    <col collapsed="false" customWidth="true" hidden="false" outlineLevel="0" max="22" min="22" style="0" width="10"/>
  </cols>
  <sheetData>
    <row r="1" customFormat="false" ht="30" hidden="false" customHeight="true" outlineLevel="0" collapsed="false">
      <c r="A1" s="41" t="s">
        <v>303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customFormat="false" ht="13.5" hidden="false" customHeight="true" outlineLevel="0" collapsed="false">
      <c r="A2" s="3" t="s">
        <v>304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33.75" hidden="false" customHeight="true" outlineLevel="0" collapsed="false">
      <c r="A4" s="5" t="s">
        <v>305</v>
      </c>
      <c r="B4" s="5" t="s">
        <v>295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310</v>
      </c>
      <c r="H4" s="42" t="s">
        <v>311</v>
      </c>
      <c r="I4" s="5" t="s">
        <v>312</v>
      </c>
      <c r="J4" s="5" t="s">
        <v>313</v>
      </c>
      <c r="K4" s="5" t="s">
        <v>314</v>
      </c>
      <c r="L4" s="5" t="s">
        <v>315</v>
      </c>
      <c r="M4" s="42" t="s">
        <v>316</v>
      </c>
      <c r="N4" s="42" t="s">
        <v>317</v>
      </c>
      <c r="O4" s="42" t="s">
        <v>318</v>
      </c>
      <c r="P4" s="42" t="s">
        <v>319</v>
      </c>
      <c r="Q4" s="5" t="s">
        <v>320</v>
      </c>
      <c r="R4" s="5" t="s">
        <v>321</v>
      </c>
      <c r="S4" s="5" t="s">
        <v>322</v>
      </c>
      <c r="T4" s="5" t="s">
        <v>323</v>
      </c>
      <c r="U4" s="5" t="s">
        <v>324</v>
      </c>
      <c r="V4" s="5" t="s">
        <v>325</v>
      </c>
    </row>
    <row r="5" customFormat="false" ht="18.75" hidden="false" customHeight="true" outlineLevel="0" collapsed="false">
      <c r="A5" s="16" t="n">
        <v>1</v>
      </c>
      <c r="B5" s="43" t="s">
        <v>9</v>
      </c>
      <c r="C5" s="44" t="s">
        <v>326</v>
      </c>
      <c r="D5" s="45" t="s">
        <v>327</v>
      </c>
      <c r="E5" s="46" t="n">
        <v>800</v>
      </c>
      <c r="F5" s="46" t="n">
        <v>820</v>
      </c>
      <c r="G5" s="45" t="s">
        <v>328</v>
      </c>
      <c r="H5" s="47" t="str">
        <f aca="false">IFERROR(googlefinance("NSE:HDFCBANK","price"),"–")</f>
        <v>–</v>
      </c>
      <c r="I5" s="48" t="n">
        <v>850</v>
      </c>
      <c r="J5" s="49" t="n">
        <v>890</v>
      </c>
      <c r="K5" s="49" t="n">
        <v>940</v>
      </c>
      <c r="L5" s="50" t="n">
        <v>780</v>
      </c>
      <c r="M5" s="51" t="s">
        <v>329</v>
      </c>
      <c r="N5" s="51" t="s">
        <v>330</v>
      </c>
      <c r="O5" s="52" t="s">
        <v>331</v>
      </c>
      <c r="P5" s="53" t="n">
        <v>-0.025</v>
      </c>
      <c r="Q5" s="54" t="s">
        <v>332</v>
      </c>
      <c r="R5" s="45" t="n">
        <v>15</v>
      </c>
      <c r="S5" s="44" t="str">
        <f aca="false">IFERROR(VLOOKUP(B5,SectorMap!A:B,2,0),"Banking")</f>
        <v>Banking</v>
      </c>
      <c r="T5" s="55" t="str">
        <f aca="false">IFERROR(VLOOKUP(B5,SectorMap!A:C,3,0),"RBI policy")</f>
        <v>Strong AUM</v>
      </c>
      <c r="U5" s="56" t="s">
        <v>333</v>
      </c>
      <c r="V5" s="57" t="n">
        <v>780</v>
      </c>
    </row>
    <row r="6" customFormat="false" ht="18.75" hidden="false" customHeight="true" outlineLevel="0" collapsed="false">
      <c r="A6" s="58" t="n">
        <v>2</v>
      </c>
      <c r="B6" s="59" t="s">
        <v>6</v>
      </c>
      <c r="C6" s="60" t="s">
        <v>334</v>
      </c>
      <c r="D6" s="61" t="s">
        <v>335</v>
      </c>
      <c r="E6" s="62" t="n">
        <v>1750</v>
      </c>
      <c r="F6" s="62" t="n">
        <v>1780</v>
      </c>
      <c r="G6" s="61" t="s">
        <v>328</v>
      </c>
      <c r="H6" s="47" t="str">
        <f aca="false">IFERROR(googlefinance("NSE:INFY","price"),"–")</f>
        <v>–</v>
      </c>
      <c r="I6" s="63" t="n">
        <v>1830</v>
      </c>
      <c r="J6" s="64" t="n">
        <v>1900</v>
      </c>
      <c r="K6" s="64" t="n">
        <v>2000</v>
      </c>
      <c r="L6" s="65" t="n">
        <v>1700</v>
      </c>
      <c r="M6" s="66" t="s">
        <v>329</v>
      </c>
      <c r="N6" s="66" t="s">
        <v>336</v>
      </c>
      <c r="O6" s="52" t="s">
        <v>331</v>
      </c>
      <c r="P6" s="67" t="n">
        <v>-0.028571</v>
      </c>
      <c r="Q6" s="68" t="s">
        <v>332</v>
      </c>
      <c r="R6" s="61" t="n">
        <v>15</v>
      </c>
      <c r="S6" s="60" t="str">
        <f aca="false">IFERROR(VLOOKUP(B6,SectorMap!A:B,2,0),"IT")</f>
        <v>IT</v>
      </c>
      <c r="T6" s="69" t="str">
        <f aca="false">IFERROR(VLOOKUP(B6,SectorMap!A:C,3,0),"Midcap IT tailwind")</f>
        <v>Midcap IT tailwind</v>
      </c>
      <c r="U6" s="70" t="s">
        <v>337</v>
      </c>
      <c r="V6" s="71" t="n">
        <v>1700</v>
      </c>
    </row>
    <row r="7" customFormat="false" ht="18.75" hidden="false" customHeight="true" outlineLevel="0" collapsed="false">
      <c r="A7" s="16" t="n">
        <v>3</v>
      </c>
      <c r="B7" s="43" t="s">
        <v>12</v>
      </c>
      <c r="C7" s="44" t="s">
        <v>338</v>
      </c>
      <c r="D7" s="45" t="s">
        <v>339</v>
      </c>
      <c r="E7" s="46" t="n">
        <v>390</v>
      </c>
      <c r="F7" s="46" t="n">
        <v>400</v>
      </c>
      <c r="G7" s="45" t="s">
        <v>328</v>
      </c>
      <c r="H7" s="47" t="str">
        <f aca="false">IFERROR(googlefinance("NSE:TATAMOTORS","price"),"–")</f>
        <v>–</v>
      </c>
      <c r="I7" s="48" t="n">
        <v>420</v>
      </c>
      <c r="J7" s="49" t="n">
        <v>450</v>
      </c>
      <c r="K7" s="49" t="n">
        <v>490</v>
      </c>
      <c r="L7" s="50" t="n">
        <v>375</v>
      </c>
      <c r="M7" s="51" t="s">
        <v>329</v>
      </c>
      <c r="N7" s="51" t="s">
        <v>340</v>
      </c>
      <c r="O7" s="52" t="s">
        <v>331</v>
      </c>
      <c r="P7" s="53" t="n">
        <v>-0.038462</v>
      </c>
      <c r="Q7" s="54" t="s">
        <v>332</v>
      </c>
      <c r="R7" s="45" t="n">
        <v>15</v>
      </c>
      <c r="S7" s="44" t="str">
        <f aca="false">IFERROR(VLOOKUP(B7,SectorMap!A:B,2,0),"Auto")</f>
        <v>Auto</v>
      </c>
      <c r="T7" s="55" t="str">
        <f aca="false">IFERROR(VLOOKUP(B7,SectorMap!A:C,3,0),"EV segment")</f>
        <v>EV segment</v>
      </c>
      <c r="U7" s="56" t="s">
        <v>341</v>
      </c>
      <c r="V7" s="57" t="n">
        <v>375</v>
      </c>
    </row>
    <row r="8" customFormat="false" ht="18.75" hidden="false" customHeight="true" outlineLevel="0" collapsed="false">
      <c r="A8" s="58" t="n">
        <v>4</v>
      </c>
      <c r="B8" s="59" t="s">
        <v>15</v>
      </c>
      <c r="C8" s="60" t="s">
        <v>342</v>
      </c>
      <c r="D8" s="61" t="s">
        <v>343</v>
      </c>
      <c r="E8" s="62" t="n">
        <v>1680</v>
      </c>
      <c r="F8" s="62" t="n">
        <v>1720</v>
      </c>
      <c r="G8" s="61" t="s">
        <v>328</v>
      </c>
      <c r="H8" s="47" t="str">
        <f aca="false">IFERROR(googlefinance("NSE:SUNPHARMA","price"),"–")</f>
        <v>–</v>
      </c>
      <c r="I8" s="63" t="n">
        <v>1780</v>
      </c>
      <c r="J8" s="64" t="n">
        <v>1850</v>
      </c>
      <c r="K8" s="64" t="n">
        <v>1950</v>
      </c>
      <c r="L8" s="65" t="n">
        <v>1640</v>
      </c>
      <c r="M8" s="72" t="s">
        <v>344</v>
      </c>
      <c r="N8" s="72" t="s">
        <v>345</v>
      </c>
      <c r="O8" s="73" t="s">
        <v>346</v>
      </c>
      <c r="P8" s="74" t="n">
        <v>0.059524</v>
      </c>
      <c r="Q8" s="75" t="s">
        <v>347</v>
      </c>
      <c r="R8" s="61" t="n">
        <v>30</v>
      </c>
      <c r="S8" s="60" t="str">
        <f aca="false">IFERROR(VLOOKUP(B8,SectorMap!A:B,2,0),"Pharma")</f>
        <v>Pharma</v>
      </c>
      <c r="T8" s="69" t="str">
        <f aca="false">IFERROR(VLOOKUP(B8,SectorMap!A:C,3,0),"US generics")</f>
        <v>US generics</v>
      </c>
      <c r="U8" s="76" t="s">
        <v>348</v>
      </c>
      <c r="V8" s="64" t="n">
        <v>1780</v>
      </c>
    </row>
    <row r="9" customFormat="false" ht="18.75" hidden="false" customHeight="true" outlineLevel="0" collapsed="false">
      <c r="A9" s="16" t="n">
        <v>5</v>
      </c>
      <c r="B9" s="43" t="s">
        <v>243</v>
      </c>
      <c r="C9" s="44" t="s">
        <v>349</v>
      </c>
      <c r="D9" s="45" t="s">
        <v>350</v>
      </c>
      <c r="E9" s="46" t="n">
        <v>900</v>
      </c>
      <c r="F9" s="46" t="n">
        <v>905</v>
      </c>
      <c r="G9" s="45" t="s">
        <v>328</v>
      </c>
      <c r="H9" s="47" t="str">
        <f aca="false">IFERROR(googlefinance("NSE:PNBHOUSING","price"),"–")</f>
        <v>–</v>
      </c>
      <c r="I9" s="48" t="n">
        <v>950</v>
      </c>
      <c r="J9" s="49" t="n">
        <v>1000</v>
      </c>
      <c r="K9" s="49" t="n">
        <v>1089</v>
      </c>
      <c r="L9" s="50" t="n">
        <v>800</v>
      </c>
      <c r="M9" s="77" t="s">
        <v>351</v>
      </c>
      <c r="N9" s="77" t="s">
        <v>352</v>
      </c>
      <c r="O9" s="73" t="s">
        <v>346</v>
      </c>
      <c r="P9" s="78" t="n">
        <v>0.21</v>
      </c>
      <c r="Q9" s="79" t="s">
        <v>353</v>
      </c>
      <c r="R9" s="45" t="n">
        <v>60</v>
      </c>
      <c r="S9" s="44" t="str">
        <f aca="false">IFERROR(VLOOKUP(B9,SectorMap!A:B,2,0),"NBFC")</f>
        <v>NBFC</v>
      </c>
      <c r="T9" s="55" t="str">
        <f aca="false">IFERROR(VLOOKUP(B9,SectorMap!A:C,3,0),"Housing demand")</f>
        <v>Housing demand</v>
      </c>
      <c r="U9" s="80" t="s">
        <v>354</v>
      </c>
      <c r="V9" s="49" t="n">
        <v>1089</v>
      </c>
    </row>
    <row r="10" customFormat="false" ht="18.75" hidden="false" customHeight="true" outlineLevel="0" collapsed="false">
      <c r="A10" s="58" t="n">
        <v>6</v>
      </c>
      <c r="B10" s="59" t="s">
        <v>245</v>
      </c>
      <c r="C10" s="60" t="s">
        <v>355</v>
      </c>
      <c r="D10" s="61" t="s">
        <v>356</v>
      </c>
      <c r="E10" s="62" t="n">
        <v>1400</v>
      </c>
      <c r="F10" s="62" t="n">
        <v>1425</v>
      </c>
      <c r="G10" s="61" t="s">
        <v>328</v>
      </c>
      <c r="H10" s="47" t="str">
        <f aca="false">IFERROR(googlefinance("NSE:CREDITACC","price"),"–")</f>
        <v>–</v>
      </c>
      <c r="I10" s="63" t="n">
        <v>1497</v>
      </c>
      <c r="J10" s="64" t="n">
        <v>1550</v>
      </c>
      <c r="K10" s="64" t="n">
        <v>1600</v>
      </c>
      <c r="L10" s="65" t="n">
        <v>1250</v>
      </c>
      <c r="M10" s="72" t="s">
        <v>344</v>
      </c>
      <c r="N10" s="72" t="s">
        <v>357</v>
      </c>
      <c r="O10" s="73" t="s">
        <v>346</v>
      </c>
      <c r="P10" s="74" t="n">
        <v>0.069286</v>
      </c>
      <c r="Q10" s="75" t="s">
        <v>347</v>
      </c>
      <c r="R10" s="61" t="n">
        <v>30</v>
      </c>
      <c r="S10" s="60" t="str">
        <f aca="false">IFERROR(VLOOKUP(B10,SectorMap!A:B,2,0),"NBFC")</f>
        <v>NBFC</v>
      </c>
      <c r="T10" s="69" t="str">
        <f aca="false">IFERROR(VLOOKUP(B10,SectorMap!A:C,3,0),"Microfinance")</f>
        <v>Microfinance</v>
      </c>
      <c r="U10" s="76" t="s">
        <v>358</v>
      </c>
      <c r="V10" s="64" t="n">
        <v>1497</v>
      </c>
    </row>
    <row r="11" customFormat="false" ht="18.75" hidden="false" customHeight="true" outlineLevel="0" collapsed="false">
      <c r="A11" s="16" t="n">
        <v>7</v>
      </c>
      <c r="B11" s="43" t="s">
        <v>247</v>
      </c>
      <c r="C11" s="44" t="s">
        <v>247</v>
      </c>
      <c r="D11" s="45" t="s">
        <v>356</v>
      </c>
      <c r="E11" s="46" t="n">
        <v>800</v>
      </c>
      <c r="F11" s="46" t="n">
        <v>825</v>
      </c>
      <c r="G11" s="45" t="s">
        <v>328</v>
      </c>
      <c r="H11" s="47" t="str">
        <f aca="false">IFERROR(googlefinance("NSE:HINDALCO","price"),"–")</f>
        <v>–</v>
      </c>
      <c r="I11" s="48" t="n">
        <v>925</v>
      </c>
      <c r="J11" s="49" t="n">
        <v>1000</v>
      </c>
      <c r="K11" s="49" t="n">
        <v>1044</v>
      </c>
      <c r="L11" s="50" t="n">
        <v>750</v>
      </c>
      <c r="M11" s="77" t="s">
        <v>351</v>
      </c>
      <c r="N11" s="77" t="s">
        <v>359</v>
      </c>
      <c r="O11" s="73" t="s">
        <v>346</v>
      </c>
      <c r="P11" s="78" t="n">
        <v>0.305</v>
      </c>
      <c r="Q11" s="79" t="s">
        <v>353</v>
      </c>
      <c r="R11" s="45" t="n">
        <v>60</v>
      </c>
      <c r="S11" s="44" t="str">
        <f aca="false">IFERROR(VLOOKUP(B11,SectorMap!A:B,2,0),"Metals")</f>
        <v>Metals</v>
      </c>
      <c r="T11" s="55" t="str">
        <f aca="false">IFERROR(VLOOKUP(B11,SectorMap!A:C,3,0),"Aluminium upcycle")</f>
        <v>Aluminium upcycle</v>
      </c>
      <c r="U11" s="80" t="s">
        <v>360</v>
      </c>
      <c r="V11" s="49" t="n">
        <v>1044</v>
      </c>
    </row>
    <row r="12" customFormat="false" ht="18.75" hidden="false" customHeight="true" outlineLevel="0" collapsed="false">
      <c r="A12" s="58" t="n">
        <v>8</v>
      </c>
      <c r="B12" s="59" t="s">
        <v>268</v>
      </c>
      <c r="C12" s="60" t="s">
        <v>268</v>
      </c>
      <c r="D12" s="61" t="s">
        <v>356</v>
      </c>
      <c r="E12" s="62" t="n">
        <v>100</v>
      </c>
      <c r="F12" s="62" t="n">
        <v>105</v>
      </c>
      <c r="G12" s="61" t="s">
        <v>328</v>
      </c>
      <c r="H12" s="47" t="str">
        <f aca="false">IFERROR(googlefinance("NSE:NBCC","price"),"–")</f>
        <v>–</v>
      </c>
      <c r="I12" s="63" t="n">
        <v>120</v>
      </c>
      <c r="J12" s="64" t="n">
        <v>125</v>
      </c>
      <c r="K12" s="81" t="s">
        <v>361</v>
      </c>
      <c r="L12" s="65" t="n">
        <v>95</v>
      </c>
      <c r="M12" s="82" t="str">
        <f aca="false">IF(OR(H12="",H12="–"),"–",IFERROR(IF(H12&lt;L12,"🔴 SL Hit",IF(AND(ISNUMBER(K12),H12&gt;=K12),"🎯 T3 Hit — Book!",IF(AND(ISNUMBER(J12),H12&gt;=J12),"🎯 T2 Hit — Book!",IF(AND(ISNUMBER(I12),H12&gt;=I12),"🎯 T1 Hit — Book!",IF(AND(H12&gt;=E12),"🟡 In/Above Buy Zone","🔻 Below Buy Zone"))))),"-"))</f>
        <v>–</v>
      </c>
      <c r="N12" s="83" t="str">
        <f aca="false">IF(M12="🎯 T3 Hit — Book!","🏆 BOOK T3 PROFITS!",IF(M12="🎯 T2 Hit — Book!","🎯 BOOK T2 PROFITS!",IF(M12="🎯 T1 Hit — Book!","📈 BOOK T1 PROFITS!",IF(M12="🔴 SL Hit","⚠️ EXIT NOW!",IF(M12="🟡 In/Above Buy Zone","🔔 BUY NOW!","⏳ Wait")))))</f>
        <v>⏳ Wait</v>
      </c>
      <c r="O12" s="84" t="s">
        <v>362</v>
      </c>
      <c r="P12" s="85" t="str">
        <f aca="false">IF(OR(ISBLANK(H12),H12="–",NOT(ISNUMBER(H12)),E12=0),"–",(H12-E12)/E12)</f>
        <v>–</v>
      </c>
      <c r="Q12" s="86" t="s">
        <v>362</v>
      </c>
      <c r="R12" s="61" t="n">
        <v>216</v>
      </c>
      <c r="S12" s="60" t="str">
        <f aca="false">IFERROR(VLOOKUP(B12,SectorMap!A:B,2,0),"Real Estate")</f>
        <v>Real Estate</v>
      </c>
      <c r="T12" s="69" t="str">
        <f aca="false">IFERROR(VLOOKUP(B12,SectorMap!A:C,3,0),"Govt construction")</f>
        <v>Govt construction</v>
      </c>
      <c r="U12" s="61" t="s">
        <v>363</v>
      </c>
      <c r="V12" s="87" t="s">
        <v>361</v>
      </c>
    </row>
    <row r="13" customFormat="false" ht="18.75" hidden="false" customHeight="true" outlineLevel="0" collapsed="false">
      <c r="A13" s="16" t="n">
        <v>9</v>
      </c>
      <c r="B13" s="43" t="s">
        <v>272</v>
      </c>
      <c r="C13" s="44" t="s">
        <v>364</v>
      </c>
      <c r="D13" s="45" t="s">
        <v>356</v>
      </c>
      <c r="E13" s="46" t="n">
        <v>200</v>
      </c>
      <c r="F13" s="46" t="n">
        <v>215</v>
      </c>
      <c r="G13" s="45" t="s">
        <v>328</v>
      </c>
      <c r="H13" s="47" t="str">
        <f aca="false">IFERROR(googlefinance("NSE:SHANTIGOLD","price"),"–")</f>
        <v>–</v>
      </c>
      <c r="I13" s="48" t="n">
        <v>225</v>
      </c>
      <c r="J13" s="49" t="n">
        <v>250</v>
      </c>
      <c r="K13" s="49" t="n">
        <v>275</v>
      </c>
      <c r="L13" s="50" t="n">
        <v>175</v>
      </c>
      <c r="M13" s="77" t="s">
        <v>344</v>
      </c>
      <c r="N13" s="77" t="s">
        <v>365</v>
      </c>
      <c r="O13" s="73" t="s">
        <v>346</v>
      </c>
      <c r="P13" s="78" t="n">
        <v>0.125</v>
      </c>
      <c r="Q13" s="79" t="s">
        <v>347</v>
      </c>
      <c r="R13" s="45" t="n">
        <v>30</v>
      </c>
      <c r="S13" s="44" t="str">
        <f aca="false">IFERROR(VLOOKUP(B13,SectorMap!A:B,2,0),"Metals")</f>
        <v>Metals</v>
      </c>
      <c r="T13" s="55" t="str">
        <f aca="false">IFERROR(VLOOKUP(B13,SectorMap!A:C,3,0),"Gold jewellery")</f>
        <v>Gold jewellery</v>
      </c>
      <c r="U13" s="80" t="s">
        <v>358</v>
      </c>
      <c r="V13" s="49" t="n">
        <v>225</v>
      </c>
    </row>
    <row r="14" customFormat="false" ht="18.75" hidden="false" customHeight="true" outlineLevel="0" collapsed="false">
      <c r="A14" s="58" t="n">
        <v>10</v>
      </c>
      <c r="B14" s="59" t="s">
        <v>249</v>
      </c>
      <c r="C14" s="60" t="s">
        <v>366</v>
      </c>
      <c r="D14" s="61" t="s">
        <v>367</v>
      </c>
      <c r="E14" s="62" t="n">
        <v>50</v>
      </c>
      <c r="F14" s="62" t="n">
        <v>52</v>
      </c>
      <c r="G14" s="61" t="s">
        <v>328</v>
      </c>
      <c r="H14" s="47" t="str">
        <f aca="false">IFERROR(googlefinance("NSE:UJJIVANSFB","price"),"–")</f>
        <v>–</v>
      </c>
      <c r="I14" s="63" t="n">
        <v>55</v>
      </c>
      <c r="J14" s="64" t="n">
        <v>60</v>
      </c>
      <c r="K14" s="64" t="n">
        <v>62.4</v>
      </c>
      <c r="L14" s="65" t="n">
        <v>45</v>
      </c>
      <c r="M14" s="72" t="s">
        <v>351</v>
      </c>
      <c r="N14" s="72" t="s">
        <v>368</v>
      </c>
      <c r="O14" s="73" t="s">
        <v>346</v>
      </c>
      <c r="P14" s="74" t="n">
        <v>0.248</v>
      </c>
      <c r="Q14" s="75" t="s">
        <v>353</v>
      </c>
      <c r="R14" s="61" t="n">
        <v>60</v>
      </c>
      <c r="S14" s="60" t="str">
        <f aca="false">IFERROR(VLOOKUP(B14,SectorMap!A:B,2,0),"Banking")</f>
        <v>Banking</v>
      </c>
      <c r="T14" s="69" t="str">
        <f aca="false">IFERROR(VLOOKUP(B14,SectorMap!A:C,3,0),"SFB growth")</f>
        <v>SFB growth</v>
      </c>
      <c r="U14" s="76" t="s">
        <v>369</v>
      </c>
      <c r="V14" s="64" t="n">
        <v>62.4</v>
      </c>
    </row>
    <row r="15" customFormat="false" ht="18.75" hidden="false" customHeight="true" outlineLevel="0" collapsed="false">
      <c r="A15" s="16" t="n">
        <v>11</v>
      </c>
      <c r="B15" s="43" t="s">
        <v>251</v>
      </c>
      <c r="C15" s="44" t="s">
        <v>370</v>
      </c>
      <c r="D15" s="45" t="s">
        <v>367</v>
      </c>
      <c r="E15" s="46" t="n">
        <v>170</v>
      </c>
      <c r="F15" s="46" t="n">
        <v>172</v>
      </c>
      <c r="G15" s="45" t="s">
        <v>328</v>
      </c>
      <c r="H15" s="47" t="str">
        <f aca="false">IFERROR(googlefinance("NSE:JMFINANCIL","price"),"–")</f>
        <v>–</v>
      </c>
      <c r="I15" s="48" t="n">
        <v>178</v>
      </c>
      <c r="J15" s="49" t="n">
        <v>182</v>
      </c>
      <c r="K15" s="49" t="n">
        <v>190</v>
      </c>
      <c r="L15" s="50" t="n">
        <v>168</v>
      </c>
      <c r="M15" s="51" t="s">
        <v>329</v>
      </c>
      <c r="N15" s="51" t="s">
        <v>371</v>
      </c>
      <c r="O15" s="52" t="s">
        <v>331</v>
      </c>
      <c r="P15" s="53" t="n">
        <v>-0.011765</v>
      </c>
      <c r="Q15" s="54" t="s">
        <v>332</v>
      </c>
      <c r="R15" s="45" t="n">
        <v>15</v>
      </c>
      <c r="S15" s="44" t="str">
        <f aca="false">IFERROR(VLOOKUP(B15,SectorMap!A:B,2,0),"Finance")</f>
        <v>Finance</v>
      </c>
      <c r="T15" s="55" t="str">
        <f aca="false">IFERROR(VLOOKUP(B15,SectorMap!A:C,3,0),"IB &amp; lending")</f>
        <v>IB &amp; lending</v>
      </c>
      <c r="U15" s="56" t="s">
        <v>372</v>
      </c>
      <c r="V15" s="57" t="n">
        <v>168</v>
      </c>
    </row>
    <row r="16" customFormat="false" ht="18.75" hidden="false" customHeight="true" outlineLevel="0" collapsed="false">
      <c r="A16" s="58" t="n">
        <v>12</v>
      </c>
      <c r="B16" s="59" t="s">
        <v>253</v>
      </c>
      <c r="C16" s="60" t="s">
        <v>373</v>
      </c>
      <c r="D16" s="61" t="s">
        <v>374</v>
      </c>
      <c r="E16" s="62" t="n">
        <v>200</v>
      </c>
      <c r="F16" s="62" t="n">
        <v>206</v>
      </c>
      <c r="G16" s="61" t="s">
        <v>328</v>
      </c>
      <c r="H16" s="47" t="str">
        <f aca="false">IFERROR(googlefinance("NSE:BHARATWIRE","price"),"–")</f>
        <v>–</v>
      </c>
      <c r="I16" s="63" t="n">
        <v>225</v>
      </c>
      <c r="J16" s="64" t="n">
        <v>250</v>
      </c>
      <c r="K16" s="64" t="n">
        <v>260</v>
      </c>
      <c r="L16" s="65" t="n">
        <v>175</v>
      </c>
      <c r="M16" s="72" t="s">
        <v>375</v>
      </c>
      <c r="N16" s="72" t="s">
        <v>376</v>
      </c>
      <c r="O16" s="73" t="s">
        <v>346</v>
      </c>
      <c r="P16" s="74" t="n">
        <v>0.25</v>
      </c>
      <c r="Q16" s="75" t="s">
        <v>377</v>
      </c>
      <c r="R16" s="61" t="n">
        <v>45</v>
      </c>
      <c r="S16" s="60" t="str">
        <f aca="false">IFERROR(VLOOKUP(B16,SectorMap!A:B,2,0),"Metals")</f>
        <v>Metals</v>
      </c>
      <c r="T16" s="69" t="str">
        <f aca="false">IFERROR(VLOOKUP(B16,SectorMap!A:C,3,0),"Wire demand")</f>
        <v>Wire demand</v>
      </c>
      <c r="U16" s="76" t="s">
        <v>378</v>
      </c>
      <c r="V16" s="64" t="n">
        <v>250</v>
      </c>
    </row>
    <row r="17" customFormat="false" ht="18.75" hidden="false" customHeight="true" outlineLevel="0" collapsed="false">
      <c r="A17" s="16" t="n">
        <v>13</v>
      </c>
      <c r="B17" s="43" t="s">
        <v>255</v>
      </c>
      <c r="C17" s="44" t="s">
        <v>255</v>
      </c>
      <c r="D17" s="45" t="s">
        <v>374</v>
      </c>
      <c r="E17" s="46" t="n">
        <v>178</v>
      </c>
      <c r="F17" s="46" t="n">
        <v>182</v>
      </c>
      <c r="G17" s="45" t="s">
        <v>328</v>
      </c>
      <c r="H17" s="47" t="str">
        <f aca="false">IFERROR(googlefinance("NSE:AEROFLEX","price"),"–")</f>
        <v>–</v>
      </c>
      <c r="I17" s="48" t="n">
        <v>200</v>
      </c>
      <c r="J17" s="49" t="n">
        <v>300</v>
      </c>
      <c r="K17" s="49" t="n">
        <v>421</v>
      </c>
      <c r="L17" s="50" t="n">
        <v>150</v>
      </c>
      <c r="M17" s="77" t="s">
        <v>351</v>
      </c>
      <c r="N17" s="77" t="s">
        <v>379</v>
      </c>
      <c r="O17" s="73" t="s">
        <v>346</v>
      </c>
      <c r="P17" s="78" t="n">
        <v>1.365169</v>
      </c>
      <c r="Q17" s="79" t="s">
        <v>353</v>
      </c>
      <c r="R17" s="45" t="n">
        <v>60</v>
      </c>
      <c r="S17" s="44" t="str">
        <f aca="false">IFERROR(VLOOKUP(B17,SectorMap!A:B,2,0),"Industrials")</f>
        <v>Industrials</v>
      </c>
      <c r="T17" s="55" t="str">
        <f aca="false">IFERROR(VLOOKUP(B17,SectorMap!A:C,3,0),"Flexible hose")</f>
        <v>Flexible hose</v>
      </c>
      <c r="U17" s="80" t="s">
        <v>380</v>
      </c>
      <c r="V17" s="49" t="n">
        <v>421</v>
      </c>
    </row>
    <row r="18" customFormat="false" ht="18.75" hidden="false" customHeight="true" outlineLevel="0" collapsed="false">
      <c r="A18" s="58" t="n">
        <v>14</v>
      </c>
      <c r="B18" s="59" t="s">
        <v>257</v>
      </c>
      <c r="C18" s="60" t="s">
        <v>381</v>
      </c>
      <c r="D18" s="61" t="s">
        <v>382</v>
      </c>
      <c r="E18" s="62" t="n">
        <v>170</v>
      </c>
      <c r="F18" s="62" t="n">
        <v>172</v>
      </c>
      <c r="G18" s="61" t="s">
        <v>328</v>
      </c>
      <c r="H18" s="47" t="str">
        <f aca="false">IFERROR(googlefinance("NSE:JAICORPLTD","price"),"–")</f>
        <v>–</v>
      </c>
      <c r="I18" s="63" t="n">
        <v>180</v>
      </c>
      <c r="J18" s="64" t="n">
        <v>190</v>
      </c>
      <c r="K18" s="81" t="s">
        <v>361</v>
      </c>
      <c r="L18" s="65" t="n">
        <v>160</v>
      </c>
      <c r="M18" s="66" t="s">
        <v>329</v>
      </c>
      <c r="N18" s="66" t="s">
        <v>383</v>
      </c>
      <c r="O18" s="52" t="s">
        <v>331</v>
      </c>
      <c r="P18" s="67" t="n">
        <v>-0.058824</v>
      </c>
      <c r="Q18" s="68" t="s">
        <v>332</v>
      </c>
      <c r="R18" s="61" t="n">
        <v>15</v>
      </c>
      <c r="S18" s="60" t="str">
        <f aca="false">IFERROR(VLOOKUP(B18,SectorMap!A:B,2,0),"Real Estate")</f>
        <v>Real Estate</v>
      </c>
      <c r="T18" s="69" t="str">
        <f aca="false">IFERROR(VLOOKUP(B18,SectorMap!A:C,3,0),"Land monetisation")</f>
        <v>Land monetisation</v>
      </c>
      <c r="U18" s="70" t="s">
        <v>384</v>
      </c>
      <c r="V18" s="71" t="n">
        <v>160</v>
      </c>
    </row>
    <row r="19" customFormat="false" ht="18.75" hidden="false" customHeight="true" outlineLevel="0" collapsed="false">
      <c r="A19" s="16" t="n">
        <v>15</v>
      </c>
      <c r="B19" s="43" t="s">
        <v>260</v>
      </c>
      <c r="C19" s="44" t="s">
        <v>260</v>
      </c>
      <c r="D19" s="45" t="s">
        <v>382</v>
      </c>
      <c r="E19" s="46" t="n">
        <v>45</v>
      </c>
      <c r="F19" s="46" t="n">
        <v>46</v>
      </c>
      <c r="G19" s="45" t="s">
        <v>328</v>
      </c>
      <c r="H19" s="47" t="str">
        <f aca="false">IFERROR(googlefinance("NSE:SAGILITY","price"),"–")</f>
        <v>–</v>
      </c>
      <c r="I19" s="48" t="n">
        <v>50</v>
      </c>
      <c r="J19" s="49" t="n">
        <v>55</v>
      </c>
      <c r="K19" s="49" t="n">
        <v>60</v>
      </c>
      <c r="L19" s="50" t="n">
        <v>40</v>
      </c>
      <c r="M19" s="28" t="str">
        <f aca="false">IF(OR(H19="",H19="–"),"–",IFERROR(IF(H19&lt;L19,"🔴 SL Hit",IF(AND(ISNUMBER(K19),H19&gt;=K19),"🎯 T3 Hit — Book!",IF(AND(ISNUMBER(J19),H19&gt;=J19),"🎯 T2 Hit — Book!",IF(AND(ISNUMBER(I19),H19&gt;=I19),"🎯 T1 Hit — Book!",IF(AND(H19&gt;=E19),"🟡 In/Above Buy Zone","🔻 Below Buy Zone"))))),"-"))</f>
        <v>–</v>
      </c>
      <c r="N19" s="88" t="str">
        <f aca="false">IF(M19="🎯 T3 Hit — Book!","🏆 BOOK T3 PROFITS!",IF(M19="🎯 T2 Hit — Book!","🎯 BOOK T2 PROFITS!",IF(M19="🎯 T1 Hit — Book!","📈 BOOK T1 PROFITS!",IF(M19="🔴 SL Hit","⚠️ EXIT NOW!",IF(M19="🟡 In/Above Buy Zone","🔔 BUY NOW!","⏳ Wait")))))</f>
        <v>⏳ Wait</v>
      </c>
      <c r="O19" s="84" t="s">
        <v>362</v>
      </c>
      <c r="P19" s="89" t="str">
        <f aca="false">IF(OR(ISBLANK(H19),H19="–",NOT(ISNUMBER(H19)),E19=0),"–",(H19-E19)/E19)</f>
        <v>–</v>
      </c>
      <c r="Q19" s="90" t="s">
        <v>362</v>
      </c>
      <c r="R19" s="45" t="n">
        <v>211</v>
      </c>
      <c r="S19" s="44" t="str">
        <f aca="false">IFERROR(VLOOKUP(B19,SectorMap!A:B,2,0),"IT")</f>
        <v>IT</v>
      </c>
      <c r="T19" s="55" t="str">
        <f aca="false">IFERROR(VLOOKUP(B19,SectorMap!A:C,3,0),"Healthcare BPO")</f>
        <v>Healthcare BPO</v>
      </c>
      <c r="U19" s="45" t="s">
        <v>363</v>
      </c>
      <c r="V19" s="35" t="s">
        <v>361</v>
      </c>
    </row>
    <row r="20" customFormat="false" ht="18.75" hidden="false" customHeight="true" outlineLevel="0" collapsed="false">
      <c r="A20" s="58" t="n">
        <v>16</v>
      </c>
      <c r="B20" s="59" t="s">
        <v>262</v>
      </c>
      <c r="C20" s="60" t="s">
        <v>385</v>
      </c>
      <c r="D20" s="61" t="s">
        <v>382</v>
      </c>
      <c r="E20" s="62" t="n">
        <v>850</v>
      </c>
      <c r="F20" s="62" t="n">
        <v>860</v>
      </c>
      <c r="G20" s="61" t="s">
        <v>328</v>
      </c>
      <c r="H20" s="47" t="str">
        <f aca="false">IFERROR(googlefinance("NSE:CANFINHOME","price"),"–")</f>
        <v>–</v>
      </c>
      <c r="I20" s="63" t="n">
        <v>890</v>
      </c>
      <c r="J20" s="64" t="n">
        <v>1000</v>
      </c>
      <c r="K20" s="81" t="s">
        <v>361</v>
      </c>
      <c r="L20" s="65" t="n">
        <v>800</v>
      </c>
      <c r="M20" s="82" t="str">
        <f aca="false">IF(OR(H20="",H20="–"),"–",IFERROR(IF(H20&lt;L20,"🔴 SL Hit",IF(AND(ISNUMBER(K20),H20&gt;=K20),"🎯 T3 Hit — Book!",IF(AND(ISNUMBER(J20),H20&gt;=J20),"🎯 T2 Hit — Book!",IF(AND(ISNUMBER(I20),H20&gt;=I20),"🎯 T1 Hit — Book!",IF(AND(H20&gt;=E20),"🟡 In/Above Buy Zone","🔻 Below Buy Zone"))))),"-"))</f>
        <v>–</v>
      </c>
      <c r="N20" s="83" t="str">
        <f aca="false">IF(M20="🎯 T3 Hit — Book!","🏆 BOOK T3 PROFITS!",IF(M20="🎯 T2 Hit — Book!","🎯 BOOK T2 PROFITS!",IF(M20="🎯 T1 Hit — Book!","📈 BOOK T1 PROFITS!",IF(M20="🔴 SL Hit","⚠️ EXIT NOW!",IF(M20="🟡 In/Above Buy Zone","🔔 BUY NOW!","⏳ Wait")))))</f>
        <v>⏳ Wait</v>
      </c>
      <c r="O20" s="84" t="s">
        <v>362</v>
      </c>
      <c r="P20" s="85" t="str">
        <f aca="false">IF(OR(ISBLANK(H20),H20="–",NOT(ISNUMBER(H20)),E20=0),"–",(H20-E20)/E20)</f>
        <v>–</v>
      </c>
      <c r="Q20" s="86" t="s">
        <v>362</v>
      </c>
      <c r="R20" s="61" t="n">
        <v>211</v>
      </c>
      <c r="S20" s="60" t="str">
        <f aca="false">IFERROR(VLOOKUP(B20,SectorMap!A:B,2,0),"NBFC")</f>
        <v>NBFC</v>
      </c>
      <c r="T20" s="69" t="str">
        <f aca="false">IFERROR(VLOOKUP(B20,SectorMap!A:C,3,0),"Affordable housing")</f>
        <v>Affordable housing</v>
      </c>
      <c r="U20" s="61" t="s">
        <v>363</v>
      </c>
      <c r="V20" s="87" t="s">
        <v>361</v>
      </c>
    </row>
    <row r="21" customFormat="false" ht="18.75" hidden="false" customHeight="true" outlineLevel="0" collapsed="false">
      <c r="A21" s="16" t="n">
        <v>17</v>
      </c>
      <c r="B21" s="43" t="s">
        <v>264</v>
      </c>
      <c r="C21" s="44" t="s">
        <v>386</v>
      </c>
      <c r="D21" s="45" t="s">
        <v>382</v>
      </c>
      <c r="E21" s="46" t="n">
        <v>490</v>
      </c>
      <c r="F21" s="46" t="n">
        <v>500</v>
      </c>
      <c r="G21" s="45" t="s">
        <v>328</v>
      </c>
      <c r="H21" s="47" t="str">
        <f aca="false">IFERROR(googlefinance("NSE:ELGIEQUIP","price"),"–")</f>
        <v>–</v>
      </c>
      <c r="I21" s="48" t="n">
        <v>525</v>
      </c>
      <c r="J21" s="49" t="n">
        <v>560.7</v>
      </c>
      <c r="K21" s="49" t="n">
        <v>600</v>
      </c>
      <c r="L21" s="50" t="n">
        <v>450</v>
      </c>
      <c r="M21" s="77" t="s">
        <v>375</v>
      </c>
      <c r="N21" s="77" t="s">
        <v>387</v>
      </c>
      <c r="O21" s="73" t="s">
        <v>346</v>
      </c>
      <c r="P21" s="78" t="n">
        <v>0.144286</v>
      </c>
      <c r="Q21" s="79" t="s">
        <v>377</v>
      </c>
      <c r="R21" s="45" t="n">
        <v>45</v>
      </c>
      <c r="S21" s="44" t="str">
        <f aca="false">IFERROR(VLOOKUP(B21,SectorMap!A:B,2,0),"Industrials")</f>
        <v>Industrials</v>
      </c>
      <c r="T21" s="55" t="str">
        <f aca="false">IFERROR(VLOOKUP(B21,SectorMap!A:C,3,0),"Compressor demand")</f>
        <v>Compressor demand</v>
      </c>
      <c r="U21" s="80" t="s">
        <v>388</v>
      </c>
      <c r="V21" s="49" t="n">
        <v>560.7</v>
      </c>
    </row>
    <row r="22" customFormat="false" ht="18.75" hidden="false" customHeight="true" outlineLevel="0" collapsed="false">
      <c r="A22" s="58" t="n">
        <v>18</v>
      </c>
      <c r="B22" s="59" t="s">
        <v>266</v>
      </c>
      <c r="C22" s="60" t="s">
        <v>389</v>
      </c>
      <c r="D22" s="61" t="s">
        <v>390</v>
      </c>
      <c r="E22" s="62" t="n">
        <v>460</v>
      </c>
      <c r="F22" s="62" t="n">
        <v>465</v>
      </c>
      <c r="G22" s="61" t="s">
        <v>328</v>
      </c>
      <c r="H22" s="47" t="str">
        <f aca="false">IFERROR(googlefinance("NSE:DLINKINDIA","price"),"–")</f>
        <v>–</v>
      </c>
      <c r="I22" s="63" t="n">
        <v>525</v>
      </c>
      <c r="J22" s="64" t="n">
        <v>550</v>
      </c>
      <c r="K22" s="64" t="n">
        <v>600</v>
      </c>
      <c r="L22" s="65" t="n">
        <v>425</v>
      </c>
      <c r="M22" s="82" t="str">
        <f aca="false">IF(OR(H22="",H22="–"),"–",IFERROR(IF(H22&lt;L22,"🔴 SL Hit",IF(AND(ISNUMBER(K22),H22&gt;=K22),"🎯 T3 Hit — Book!",IF(AND(ISNUMBER(J22),H22&gt;=J22),"🎯 T2 Hit — Book!",IF(AND(ISNUMBER(I22),H22&gt;=I22),"🎯 T1 Hit — Book!",IF(AND(H22&gt;=E22),"🟡 In/Above Buy Zone","🔻 Below Buy Zone"))))),"-"))</f>
        <v>–</v>
      </c>
      <c r="N22" s="83" t="str">
        <f aca="false">IF(M22="🎯 T3 Hit — Book!","🏆 BOOK T3 PROFITS!",IF(M22="🎯 T2 Hit — Book!","🎯 BOOK T2 PROFITS!",IF(M22="🎯 T1 Hit — Book!","📈 BOOK T1 PROFITS!",IF(M22="🔴 SL Hit","⚠️ EXIT NOW!",IF(M22="🟡 In/Above Buy Zone","🔔 BUY NOW!","⏳ Wait")))))</f>
        <v>⏳ Wait</v>
      </c>
      <c r="O22" s="84" t="s">
        <v>362</v>
      </c>
      <c r="P22" s="85" t="str">
        <f aca="false">IF(OR(ISBLANK(H22),H22="–",NOT(ISNUMBER(H22)),E22=0),"–",(H22-E22)/E22)</f>
        <v>–</v>
      </c>
      <c r="Q22" s="86" t="s">
        <v>362</v>
      </c>
      <c r="R22" s="61" t="n">
        <v>210</v>
      </c>
      <c r="S22" s="60" t="str">
        <f aca="false">IFERROR(VLOOKUP(B22,SectorMap!A:B,2,0),"Telecom")</f>
        <v>Telecom</v>
      </c>
      <c r="T22" s="69" t="str">
        <f aca="false">IFERROR(VLOOKUP(B22,SectorMap!A:C,3,0),"Network infra")</f>
        <v>Network infra</v>
      </c>
      <c r="U22" s="61" t="s">
        <v>363</v>
      </c>
      <c r="V22" s="87" t="s">
        <v>361</v>
      </c>
    </row>
    <row r="23" customFormat="false" ht="18.75" hidden="false" customHeight="true" outlineLevel="0" collapsed="false">
      <c r="A23" s="16" t="n">
        <v>19</v>
      </c>
      <c r="B23" s="43" t="s">
        <v>270</v>
      </c>
      <c r="C23" s="44" t="s">
        <v>270</v>
      </c>
      <c r="D23" s="45" t="s">
        <v>390</v>
      </c>
      <c r="E23" s="46" t="n">
        <v>170</v>
      </c>
      <c r="F23" s="46" t="n">
        <v>175</v>
      </c>
      <c r="G23" s="45" t="s">
        <v>328</v>
      </c>
      <c r="H23" s="47" t="str">
        <f aca="false">IFERROR(googlefinance("NSE:NOCIL","price"),"–")</f>
        <v>–</v>
      </c>
      <c r="I23" s="48" t="n">
        <v>180</v>
      </c>
      <c r="J23" s="49" t="n">
        <v>185</v>
      </c>
      <c r="K23" s="49" t="n">
        <v>200</v>
      </c>
      <c r="L23" s="50" t="n">
        <v>160</v>
      </c>
      <c r="M23" s="77" t="s">
        <v>344</v>
      </c>
      <c r="N23" s="77" t="s">
        <v>391</v>
      </c>
      <c r="O23" s="73" t="s">
        <v>346</v>
      </c>
      <c r="P23" s="78" t="n">
        <v>0.058824</v>
      </c>
      <c r="Q23" s="79" t="s">
        <v>347</v>
      </c>
      <c r="R23" s="45" t="n">
        <v>30</v>
      </c>
      <c r="S23" s="44" t="str">
        <f aca="false">IFERROR(VLOOKUP(B23,SectorMap!A:B,2,0),"Chemicals")</f>
        <v>Chemicals</v>
      </c>
      <c r="T23" s="55" t="str">
        <f aca="false">IFERROR(VLOOKUP(B23,SectorMap!A:C,3,0),"Rubber chemicals")</f>
        <v>Rubber chemicals</v>
      </c>
      <c r="U23" s="80" t="s">
        <v>392</v>
      </c>
      <c r="V23" s="49" t="n">
        <v>180</v>
      </c>
    </row>
    <row r="24" customFormat="false" ht="18.75" hidden="false" customHeight="true" outlineLevel="0" collapsed="false">
      <c r="A24" s="58" t="n">
        <v>20</v>
      </c>
      <c r="B24" s="59" t="s">
        <v>137</v>
      </c>
      <c r="C24" s="60" t="s">
        <v>393</v>
      </c>
      <c r="D24" s="61" t="s">
        <v>394</v>
      </c>
      <c r="E24" s="62" t="n">
        <v>2500</v>
      </c>
      <c r="F24" s="62" t="n">
        <v>2550</v>
      </c>
      <c r="G24" s="61" t="s">
        <v>328</v>
      </c>
      <c r="H24" s="47" t="str">
        <f aca="false">IFERROR(googlefinance("NSE:BSE","price"),"–")</f>
        <v>–</v>
      </c>
      <c r="I24" s="63" t="n">
        <v>2750</v>
      </c>
      <c r="J24" s="64" t="n">
        <v>3000</v>
      </c>
      <c r="K24" s="64" t="n">
        <v>3905</v>
      </c>
      <c r="L24" s="65" t="n">
        <v>225</v>
      </c>
      <c r="M24" s="72" t="s">
        <v>351</v>
      </c>
      <c r="N24" s="72" t="s">
        <v>395</v>
      </c>
      <c r="O24" s="73" t="s">
        <v>346</v>
      </c>
      <c r="P24" s="74" t="n">
        <v>0.562</v>
      </c>
      <c r="Q24" s="75" t="s">
        <v>353</v>
      </c>
      <c r="R24" s="61" t="n">
        <v>60</v>
      </c>
      <c r="S24" s="60" t="str">
        <f aca="false">IFERROR(VLOOKUP(B24,SectorMap!A:B,2,0),"Finance")</f>
        <v>Finance</v>
      </c>
      <c r="T24" s="69" t="str">
        <f aca="false">IFERROR(VLOOKUP(B24,SectorMap!A:C,3,0),"Volume surge")</f>
        <v>Volume surge</v>
      </c>
      <c r="U24" s="76" t="s">
        <v>396</v>
      </c>
      <c r="V24" s="64" t="n">
        <v>3905</v>
      </c>
    </row>
    <row r="25" customFormat="false" ht="18.75" hidden="false" customHeight="true" outlineLevel="0" collapsed="false">
      <c r="A25" s="16" t="n">
        <v>21</v>
      </c>
      <c r="B25" s="43" t="s">
        <v>95</v>
      </c>
      <c r="C25" s="44" t="s">
        <v>95</v>
      </c>
      <c r="D25" s="45" t="s">
        <v>397</v>
      </c>
      <c r="E25" s="46" t="n">
        <v>140</v>
      </c>
      <c r="F25" s="46" t="n">
        <v>145</v>
      </c>
      <c r="G25" s="45" t="s">
        <v>328</v>
      </c>
      <c r="H25" s="47" t="str">
        <f aca="false">IFERROR(googlefinance("NSE:MRPL","price"),"–")</f>
        <v>–</v>
      </c>
      <c r="I25" s="48" t="n">
        <v>167</v>
      </c>
      <c r="J25" s="49" t="n">
        <v>180</v>
      </c>
      <c r="K25" s="49" t="n">
        <v>190</v>
      </c>
      <c r="L25" s="50" t="n">
        <v>125</v>
      </c>
      <c r="M25" s="77" t="s">
        <v>344</v>
      </c>
      <c r="N25" s="77" t="s">
        <v>398</v>
      </c>
      <c r="O25" s="73" t="s">
        <v>346</v>
      </c>
      <c r="P25" s="78" t="n">
        <v>0.192857</v>
      </c>
      <c r="Q25" s="79" t="s">
        <v>347</v>
      </c>
      <c r="R25" s="45" t="n">
        <v>30</v>
      </c>
      <c r="S25" s="44" t="str">
        <f aca="false">IFERROR(VLOOKUP(B25,SectorMap!A:B,2,0),"Energy")</f>
        <v>Energy</v>
      </c>
      <c r="T25" s="55" t="str">
        <f aca="false">IFERROR(VLOOKUP(B25,SectorMap!A:C,3,0),"GRM expansion")</f>
        <v>GRM expansion</v>
      </c>
      <c r="U25" s="80" t="s">
        <v>399</v>
      </c>
      <c r="V25" s="49" t="n">
        <v>167</v>
      </c>
    </row>
    <row r="26" customFormat="false" ht="18.75" hidden="false" customHeight="true" outlineLevel="0" collapsed="false">
      <c r="A26" s="58" t="n">
        <v>22</v>
      </c>
      <c r="B26" s="59" t="s">
        <v>274</v>
      </c>
      <c r="C26" s="60" t="s">
        <v>400</v>
      </c>
      <c r="D26" s="61" t="s">
        <v>401</v>
      </c>
      <c r="E26" s="62" t="n">
        <v>15</v>
      </c>
      <c r="F26" s="62" t="n">
        <v>15.5</v>
      </c>
      <c r="G26" s="61" t="s">
        <v>328</v>
      </c>
      <c r="H26" s="47" t="str">
        <f aca="false">IFERROR(googlefinance("NSE:UTKARSHBNK","price"),"–")</f>
        <v>–</v>
      </c>
      <c r="I26" s="63" t="n">
        <v>16</v>
      </c>
      <c r="J26" s="64" t="n">
        <v>17</v>
      </c>
      <c r="K26" s="64" t="n">
        <v>18</v>
      </c>
      <c r="L26" s="65" t="n">
        <v>12.5</v>
      </c>
      <c r="M26" s="82" t="str">
        <f aca="false">IF(OR(H26="",H26="–"),"–",IFERROR(IF(H26&lt;L26,"🔴 SL Hit",IF(AND(ISNUMBER(K26),H26&gt;=K26),"🎯 T3 Hit — Book!",IF(AND(ISNUMBER(J26),H26&gt;=J26),"🎯 T2 Hit — Book!",IF(AND(ISNUMBER(I26),H26&gt;=I26),"🎯 T1 Hit — Book!",IF(AND(H26&gt;=E26),"🟡 In/Above Buy Zone","🔻 Below Buy Zone"))))),"-"))</f>
        <v>–</v>
      </c>
      <c r="N26" s="83" t="str">
        <f aca="false">IF(M26="🎯 T3 Hit — Book!","🏆 BOOK T3 PROFITS!",IF(M26="🎯 T2 Hit — Book!","🎯 BOOK T2 PROFITS!",IF(M26="🎯 T1 Hit — Book!","📈 BOOK T1 PROFITS!",IF(M26="🔴 SL Hit","⚠️ EXIT NOW!",IF(M26="🟡 In/Above Buy Zone","🔔 BUY NOW!","⏳ Wait")))))</f>
        <v>⏳ Wait</v>
      </c>
      <c r="O26" s="84" t="s">
        <v>362</v>
      </c>
      <c r="P26" s="85" t="str">
        <f aca="false">IF(OR(ISBLANK(H26),H26="–",NOT(ISNUMBER(H26)),E26=0),"–",(H26-E26)/E26)</f>
        <v>–</v>
      </c>
      <c r="Q26" s="86" t="s">
        <v>362</v>
      </c>
      <c r="R26" s="61" t="n">
        <v>202</v>
      </c>
      <c r="S26" s="60" t="str">
        <f aca="false">IFERROR(VLOOKUP(B26,SectorMap!A:B,2,0),"Banking")</f>
        <v>Banking</v>
      </c>
      <c r="T26" s="69" t="str">
        <f aca="false">IFERROR(VLOOKUP(B26,SectorMap!A:C,3,0),"SFB expansion")</f>
        <v>SFB expansion</v>
      </c>
      <c r="U26" s="61" t="s">
        <v>363</v>
      </c>
      <c r="V26" s="87" t="s">
        <v>361</v>
      </c>
    </row>
    <row r="27" customFormat="false" ht="18.75" hidden="false" customHeight="true" outlineLevel="0" collapsed="false">
      <c r="A27" s="16" t="n">
        <v>23</v>
      </c>
      <c r="B27" s="43" t="s">
        <v>276</v>
      </c>
      <c r="C27" s="44" t="s">
        <v>402</v>
      </c>
      <c r="D27" s="45" t="s">
        <v>403</v>
      </c>
      <c r="E27" s="46" t="n">
        <v>60</v>
      </c>
      <c r="F27" s="46" t="n">
        <v>65</v>
      </c>
      <c r="G27" s="45" t="s">
        <v>328</v>
      </c>
      <c r="H27" s="47" t="str">
        <f aca="false">IFERROR(googlefinance("NSE:ASIANTILES","price"),"–")</f>
        <v>–</v>
      </c>
      <c r="I27" s="48" t="n">
        <v>70</v>
      </c>
      <c r="J27" s="49" t="n">
        <v>75</v>
      </c>
      <c r="K27" s="91" t="s">
        <v>361</v>
      </c>
      <c r="L27" s="50" t="n">
        <v>55</v>
      </c>
      <c r="M27" s="28" t="str">
        <f aca="false">IF(OR(H27="",H27="–"),"–",IFERROR(IF(H27&lt;L27,"🔴 SL Hit",IF(AND(ISNUMBER(K27),H27&gt;=K27),"🎯 T3 Hit — Book!",IF(AND(ISNUMBER(J27),H27&gt;=J27),"🎯 T2 Hit — Book!",IF(AND(ISNUMBER(I27),H27&gt;=I27),"🎯 T1 Hit — Book!",IF(AND(H27&gt;=E27),"🟡 In/Above Buy Zone","🔻 Below Buy Zone"))))),"-"))</f>
        <v>–</v>
      </c>
      <c r="N27" s="88" t="str">
        <f aca="false">IF(M27="🎯 T3 Hit — Book!","🏆 BOOK T3 PROFITS!",IF(M27="🎯 T2 Hit — Book!","🎯 BOOK T2 PROFITS!",IF(M27="🎯 T1 Hit — Book!","📈 BOOK T1 PROFITS!",IF(M27="🔴 SL Hit","⚠️ EXIT NOW!",IF(M27="🟡 In/Above Buy Zone","🔔 BUY NOW!","⏳ Wait")))))</f>
        <v>⏳ Wait</v>
      </c>
      <c r="O27" s="84" t="s">
        <v>362</v>
      </c>
      <c r="P27" s="89" t="str">
        <f aca="false">IF(OR(ISBLANK(H27),H27="–",NOT(ISNUMBER(H27)),E27=0),"–",(H27-E27)/E27)</f>
        <v>–</v>
      </c>
      <c r="Q27" s="90" t="s">
        <v>362</v>
      </c>
      <c r="R27" s="45" t="n">
        <v>199</v>
      </c>
      <c r="S27" s="44" t="str">
        <f aca="false">IFERROR(VLOOKUP(B27,SectorMap!A:B,2,0),"Consumer")</f>
        <v>Consumer</v>
      </c>
      <c r="T27" s="55" t="str">
        <f aca="false">IFERROR(VLOOKUP(B27,SectorMap!A:C,3,0),"Real estate linked")</f>
        <v>Real estate linked</v>
      </c>
      <c r="U27" s="45" t="s">
        <v>363</v>
      </c>
      <c r="V27" s="35" t="s">
        <v>361</v>
      </c>
    </row>
    <row r="28" customFormat="false" ht="18.75" hidden="false" customHeight="true" outlineLevel="0" collapsed="false">
      <c r="A28" s="58" t="n">
        <v>24</v>
      </c>
      <c r="B28" s="59" t="s">
        <v>239</v>
      </c>
      <c r="C28" s="60" t="s">
        <v>239</v>
      </c>
      <c r="D28" s="61" t="s">
        <v>372</v>
      </c>
      <c r="E28" s="62" t="n">
        <v>150</v>
      </c>
      <c r="F28" s="62" t="n">
        <v>155</v>
      </c>
      <c r="G28" s="61" t="s">
        <v>328</v>
      </c>
      <c r="H28" s="47" t="str">
        <f aca="false">IFERROR(googlefinance("NSE:RATNAVEER","price"),"–")</f>
        <v>–</v>
      </c>
      <c r="I28" s="63" t="n">
        <v>175</v>
      </c>
      <c r="J28" s="64" t="n">
        <v>180</v>
      </c>
      <c r="K28" s="64" t="n">
        <v>190</v>
      </c>
      <c r="L28" s="65" t="n">
        <v>135</v>
      </c>
      <c r="M28" s="72" t="s">
        <v>344</v>
      </c>
      <c r="N28" s="72" t="s">
        <v>404</v>
      </c>
      <c r="O28" s="73" t="s">
        <v>346</v>
      </c>
      <c r="P28" s="74" t="n">
        <v>0.166667</v>
      </c>
      <c r="Q28" s="75" t="s">
        <v>347</v>
      </c>
      <c r="R28" s="61" t="n">
        <v>30</v>
      </c>
      <c r="S28" s="60" t="str">
        <f aca="false">IFERROR(VLOOKUP(B28,SectorMap!A:B,2,0),"Metals")</f>
        <v>Metals</v>
      </c>
      <c r="T28" s="69" t="str">
        <f aca="false">IFERROR(VLOOKUP(B28,SectorMap!A:C,3,0),"SS tubes")</f>
        <v>SS tubes</v>
      </c>
      <c r="U28" s="76" t="s">
        <v>405</v>
      </c>
      <c r="V28" s="64" t="n">
        <v>175</v>
      </c>
    </row>
    <row r="29" customFormat="false" ht="18.75" hidden="false" customHeight="true" outlineLevel="0" collapsed="false">
      <c r="A29" s="16" t="n">
        <v>25</v>
      </c>
      <c r="B29" s="43" t="s">
        <v>241</v>
      </c>
      <c r="C29" s="44" t="s">
        <v>241</v>
      </c>
      <c r="D29" s="45" t="s">
        <v>372</v>
      </c>
      <c r="E29" s="46" t="n">
        <v>150</v>
      </c>
      <c r="F29" s="46" t="n">
        <v>152</v>
      </c>
      <c r="G29" s="45" t="s">
        <v>328</v>
      </c>
      <c r="H29" s="47" t="str">
        <f aca="false">IFERROR(googlefinance("NSE:SATIN","price"),"–")</f>
        <v>–</v>
      </c>
      <c r="I29" s="48" t="n">
        <v>170</v>
      </c>
      <c r="J29" s="49" t="n">
        <v>190</v>
      </c>
      <c r="K29" s="49" t="n">
        <v>210</v>
      </c>
      <c r="L29" s="50" t="n">
        <v>130</v>
      </c>
      <c r="M29" s="77" t="s">
        <v>351</v>
      </c>
      <c r="N29" s="77" t="s">
        <v>406</v>
      </c>
      <c r="O29" s="73" t="s">
        <v>346</v>
      </c>
      <c r="P29" s="78" t="n">
        <v>0.4</v>
      </c>
      <c r="Q29" s="79" t="s">
        <v>353</v>
      </c>
      <c r="R29" s="45" t="n">
        <v>60</v>
      </c>
      <c r="S29" s="44" t="str">
        <f aca="false">IFERROR(VLOOKUP(B29,SectorMap!A:B,2,0),"NBFC")</f>
        <v>NBFC</v>
      </c>
      <c r="T29" s="55" t="str">
        <f aca="false">IFERROR(VLOOKUP(B29,SectorMap!A:C,3,0),"MFI recovery")</f>
        <v>MFI recovery</v>
      </c>
      <c r="U29" s="80" t="s">
        <v>407</v>
      </c>
      <c r="V29" s="49" t="n">
        <v>210</v>
      </c>
    </row>
    <row r="30" customFormat="false" ht="18.75" hidden="false" customHeight="true" outlineLevel="0" collapsed="false">
      <c r="A30" s="58" t="n">
        <v>26</v>
      </c>
      <c r="B30" s="59" t="s">
        <v>236</v>
      </c>
      <c r="C30" s="60" t="s">
        <v>408</v>
      </c>
      <c r="D30" s="61" t="s">
        <v>409</v>
      </c>
      <c r="E30" s="62" t="n">
        <v>550</v>
      </c>
      <c r="F30" s="62" t="n">
        <v>575</v>
      </c>
      <c r="G30" s="61" t="s">
        <v>328</v>
      </c>
      <c r="H30" s="47" t="str">
        <f aca="false">IFERROR(googlefinance("NSE:PRICOLLTD","price"),"–")</f>
        <v>–</v>
      </c>
      <c r="I30" s="63" t="n">
        <v>600</v>
      </c>
      <c r="J30" s="64" t="n">
        <v>625</v>
      </c>
      <c r="K30" s="64" t="n">
        <v>700</v>
      </c>
      <c r="L30" s="65" t="n">
        <v>500</v>
      </c>
      <c r="M30" s="72" t="s">
        <v>344</v>
      </c>
      <c r="N30" s="72" t="s">
        <v>410</v>
      </c>
      <c r="O30" s="73" t="s">
        <v>346</v>
      </c>
      <c r="P30" s="74" t="n">
        <v>0.090909</v>
      </c>
      <c r="Q30" s="75" t="s">
        <v>347</v>
      </c>
      <c r="R30" s="61" t="n">
        <v>30</v>
      </c>
      <c r="S30" s="60" t="str">
        <f aca="false">IFERROR(VLOOKUP(B30,SectorMap!A:B,2,0),"Auto Ancillary")</f>
        <v>Auto Ancillary</v>
      </c>
      <c r="T30" s="69" t="str">
        <f aca="false">IFERROR(VLOOKUP(B30,SectorMap!A:C,3,0),"EV content")</f>
        <v>EV content</v>
      </c>
      <c r="U30" s="76" t="s">
        <v>378</v>
      </c>
      <c r="V30" s="64" t="n">
        <v>600</v>
      </c>
    </row>
    <row r="31" customFormat="false" ht="18.75" hidden="false" customHeight="true" outlineLevel="0" collapsed="false">
      <c r="A31" s="16" t="n">
        <v>27</v>
      </c>
      <c r="B31" s="43" t="s">
        <v>278</v>
      </c>
      <c r="C31" s="44" t="s">
        <v>411</v>
      </c>
      <c r="D31" s="45" t="s">
        <v>412</v>
      </c>
      <c r="E31" s="46" t="n">
        <v>90</v>
      </c>
      <c r="F31" s="46" t="n">
        <v>92.5</v>
      </c>
      <c r="G31" s="45" t="s">
        <v>328</v>
      </c>
      <c r="H31" s="47" t="str">
        <f aca="false">IFERROR(googlefinance("NSE:JAMNAAUTO","price"),"–")</f>
        <v>–</v>
      </c>
      <c r="I31" s="48" t="n">
        <v>115</v>
      </c>
      <c r="J31" s="49" t="n">
        <v>125</v>
      </c>
      <c r="K31" s="49" t="n">
        <v>131</v>
      </c>
      <c r="L31" s="50" t="n">
        <v>85</v>
      </c>
      <c r="M31" s="77" t="s">
        <v>351</v>
      </c>
      <c r="N31" s="77" t="s">
        <v>413</v>
      </c>
      <c r="O31" s="73" t="s">
        <v>346</v>
      </c>
      <c r="P31" s="78" t="n">
        <v>0.455556</v>
      </c>
      <c r="Q31" s="79" t="s">
        <v>353</v>
      </c>
      <c r="R31" s="45" t="n">
        <v>60</v>
      </c>
      <c r="S31" s="44" t="str">
        <f aca="false">IFERROR(VLOOKUP(B31,SectorMap!A:B,2,0),"Auto Ancillary")</f>
        <v>Auto Ancillary</v>
      </c>
      <c r="T31" s="55" t="str">
        <f aca="false">IFERROR(VLOOKUP(B31,SectorMap!A:C,3,0),"CV leaf springs")</f>
        <v>CV leaf springs</v>
      </c>
      <c r="U31" s="80" t="s">
        <v>414</v>
      </c>
      <c r="V31" s="49" t="n">
        <v>131</v>
      </c>
    </row>
    <row r="32" customFormat="false" ht="18.75" hidden="false" customHeight="true" outlineLevel="0" collapsed="false">
      <c r="A32" s="58" t="n">
        <v>28</v>
      </c>
      <c r="B32" s="59" t="s">
        <v>232</v>
      </c>
      <c r="C32" s="60" t="s">
        <v>415</v>
      </c>
      <c r="D32" s="61" t="s">
        <v>416</v>
      </c>
      <c r="E32" s="62" t="n">
        <v>1000</v>
      </c>
      <c r="F32" s="62" t="n">
        <v>1090</v>
      </c>
      <c r="G32" s="61" t="s">
        <v>328</v>
      </c>
      <c r="H32" s="47" t="str">
        <f aca="false">IFERROR(googlefinance("NSE:PVRINOX","price"),"–")</f>
        <v>–</v>
      </c>
      <c r="I32" s="63" t="n">
        <v>1100</v>
      </c>
      <c r="J32" s="64" t="n">
        <v>1200</v>
      </c>
      <c r="K32" s="64" t="n">
        <v>1500</v>
      </c>
      <c r="L32" s="65" t="n">
        <v>950</v>
      </c>
      <c r="M32" s="82" t="str">
        <f aca="false">IF(OR(H32="",H32="–"),"–",IFERROR(IF(H32&lt;L32,"🔴 SL Hit",IF(AND(ISNUMBER(K32),H32&gt;=K32),"🎯 T3 Hit — Book!",IF(AND(ISNUMBER(J32),H32&gt;=J32),"🎯 T2 Hit — Book!",IF(AND(ISNUMBER(I32),H32&gt;=I32),"🎯 T1 Hit — Book!",IF(AND(H32&gt;=E32),"🟡 In/Above Buy Zone","🔻 Below Buy Zone"))))),"-"))</f>
        <v>–</v>
      </c>
      <c r="N32" s="83" t="str">
        <f aca="false">IF(M32="🎯 T3 Hit — Book!","🏆 BOOK T3 PROFITS!",IF(M32="🎯 T2 Hit — Book!","🎯 BOOK T2 PROFITS!",IF(M32="🎯 T1 Hit — Book!","📈 BOOK T1 PROFITS!",IF(M32="🔴 SL Hit","⚠️ EXIT NOW!",IF(M32="🟡 In/Above Buy Zone","🔔 BUY NOW!","⏳ Wait")))))</f>
        <v>⏳ Wait</v>
      </c>
      <c r="O32" s="84" t="s">
        <v>362</v>
      </c>
      <c r="P32" s="85" t="str">
        <f aca="false">IF(OR(ISBLANK(H32),H32="–",NOT(ISNUMBER(H32)),E32=0),"–",(H32-E32)/E32)</f>
        <v>–</v>
      </c>
      <c r="Q32" s="86" t="s">
        <v>362</v>
      </c>
      <c r="R32" s="61" t="n">
        <v>192</v>
      </c>
      <c r="S32" s="60" t="str">
        <f aca="false">IFERROR(VLOOKUP(B32,SectorMap!A:B,2,0),"Media")</f>
        <v>Media</v>
      </c>
      <c r="T32" s="69" t="str">
        <f aca="false">IFERROR(VLOOKUP(B32,SectorMap!A:C,3,0),"Box office revival")</f>
        <v>Box office revival</v>
      </c>
      <c r="U32" s="61" t="s">
        <v>363</v>
      </c>
      <c r="V32" s="87" t="s">
        <v>361</v>
      </c>
    </row>
    <row r="33" customFormat="false" ht="18.75" hidden="false" customHeight="true" outlineLevel="0" collapsed="false">
      <c r="A33" s="16" t="n">
        <v>29</v>
      </c>
      <c r="B33" s="43" t="s">
        <v>234</v>
      </c>
      <c r="C33" s="44" t="s">
        <v>234</v>
      </c>
      <c r="D33" s="45" t="s">
        <v>416</v>
      </c>
      <c r="E33" s="46" t="n">
        <v>2750</v>
      </c>
      <c r="F33" s="46" t="n">
        <v>2785</v>
      </c>
      <c r="G33" s="45" t="s">
        <v>328</v>
      </c>
      <c r="H33" s="47" t="str">
        <f aca="false">IFERROR(googlefinance("NSE:GRASIM","price"),"–")</f>
        <v>–</v>
      </c>
      <c r="I33" s="48" t="n">
        <v>2850</v>
      </c>
      <c r="J33" s="49" t="n">
        <v>2950</v>
      </c>
      <c r="K33" s="49" t="n">
        <v>3250</v>
      </c>
      <c r="L33" s="50" t="n">
        <v>2500</v>
      </c>
      <c r="M33" s="77" t="s">
        <v>375</v>
      </c>
      <c r="N33" s="77" t="s">
        <v>417</v>
      </c>
      <c r="O33" s="73" t="s">
        <v>346</v>
      </c>
      <c r="P33" s="78" t="n">
        <v>0.072727</v>
      </c>
      <c r="Q33" s="79" t="s">
        <v>377</v>
      </c>
      <c r="R33" s="45" t="n">
        <v>45</v>
      </c>
      <c r="S33" s="44" t="str">
        <f aca="false">IFERROR(VLOOKUP(B33,SectorMap!A:B,2,0),"Industrials")</f>
        <v>Industrials</v>
      </c>
      <c r="T33" s="55" t="str">
        <f aca="false">IFERROR(VLOOKUP(B33,SectorMap!A:C,3,0),"Paint + cement")</f>
        <v>Paint + cement</v>
      </c>
      <c r="U33" s="80" t="s">
        <v>418</v>
      </c>
      <c r="V33" s="49" t="n">
        <v>2950</v>
      </c>
    </row>
    <row r="34" customFormat="false" ht="18.75" hidden="false" customHeight="true" outlineLevel="0" collapsed="false">
      <c r="A34" s="58" t="n">
        <v>30</v>
      </c>
      <c r="B34" s="59" t="s">
        <v>228</v>
      </c>
      <c r="C34" s="60" t="s">
        <v>228</v>
      </c>
      <c r="D34" s="61" t="s">
        <v>419</v>
      </c>
      <c r="E34" s="62" t="n">
        <v>3800</v>
      </c>
      <c r="F34" s="62" t="n">
        <v>3850</v>
      </c>
      <c r="G34" s="61" t="s">
        <v>328</v>
      </c>
      <c r="H34" s="47" t="str">
        <f aca="false">IFERROR(googlefinance("NSE:TITAN","price"),"–")</f>
        <v>–</v>
      </c>
      <c r="I34" s="63" t="n">
        <v>4200</v>
      </c>
      <c r="J34" s="64" t="n">
        <v>4400</v>
      </c>
      <c r="K34" s="64" t="n">
        <v>4500</v>
      </c>
      <c r="L34" s="65" t="n">
        <v>450</v>
      </c>
      <c r="M34" s="72" t="s">
        <v>351</v>
      </c>
      <c r="N34" s="72" t="s">
        <v>420</v>
      </c>
      <c r="O34" s="73" t="s">
        <v>346</v>
      </c>
      <c r="P34" s="74" t="n">
        <v>0.184211</v>
      </c>
      <c r="Q34" s="75" t="s">
        <v>353</v>
      </c>
      <c r="R34" s="61" t="n">
        <v>60</v>
      </c>
      <c r="S34" s="60" t="str">
        <f aca="false">IFERROR(VLOOKUP(B34,SectorMap!A:B,2,0),"Consumer")</f>
        <v>Consumer</v>
      </c>
      <c r="T34" s="69" t="str">
        <f aca="false">IFERROR(VLOOKUP(B34,SectorMap!A:C,3,0),"Jewellery demand")</f>
        <v>Jewellery demand</v>
      </c>
      <c r="U34" s="76" t="s">
        <v>421</v>
      </c>
      <c r="V34" s="64" t="n">
        <v>4500</v>
      </c>
    </row>
    <row r="35" customFormat="false" ht="18.75" hidden="false" customHeight="true" outlineLevel="0" collapsed="false">
      <c r="A35" s="16" t="n">
        <v>31</v>
      </c>
      <c r="B35" s="43" t="s">
        <v>230</v>
      </c>
      <c r="C35" s="44" t="s">
        <v>230</v>
      </c>
      <c r="D35" s="45" t="s">
        <v>419</v>
      </c>
      <c r="E35" s="46" t="n">
        <v>1800</v>
      </c>
      <c r="F35" s="46" t="n">
        <v>1850</v>
      </c>
      <c r="G35" s="45" t="s">
        <v>328</v>
      </c>
      <c r="H35" s="47" t="str">
        <f aca="false">IFERROR(googlefinance("NSE:BBTC","price"),"–")</f>
        <v>–</v>
      </c>
      <c r="I35" s="48" t="n">
        <v>2000</v>
      </c>
      <c r="J35" s="49" t="n">
        <v>2100</v>
      </c>
      <c r="K35" s="91" t="s">
        <v>361</v>
      </c>
      <c r="L35" s="50" t="n">
        <v>1600</v>
      </c>
      <c r="M35" s="51" t="s">
        <v>329</v>
      </c>
      <c r="N35" s="51" t="s">
        <v>422</v>
      </c>
      <c r="O35" s="52" t="s">
        <v>331</v>
      </c>
      <c r="P35" s="53" t="n">
        <v>-0.111111</v>
      </c>
      <c r="Q35" s="54" t="s">
        <v>332</v>
      </c>
      <c r="R35" s="45" t="n">
        <v>15</v>
      </c>
      <c r="S35" s="44" t="str">
        <f aca="false">IFERROR(VLOOKUP(B35,SectorMap!A:B,2,0),"Agri")</f>
        <v>Agri</v>
      </c>
      <c r="T35" s="55" t="str">
        <f aca="false">IFERROR(VLOOKUP(B35,SectorMap!A:C,3,0),"Plantation play")</f>
        <v>Plantation play</v>
      </c>
      <c r="U35" s="56" t="s">
        <v>423</v>
      </c>
      <c r="V35" s="57" t="n">
        <v>1600</v>
      </c>
    </row>
    <row r="36" customFormat="false" ht="18.75" hidden="false" customHeight="true" outlineLevel="0" collapsed="false">
      <c r="A36" s="58" t="n">
        <v>32</v>
      </c>
      <c r="B36" s="59" t="s">
        <v>226</v>
      </c>
      <c r="C36" s="60" t="s">
        <v>226</v>
      </c>
      <c r="D36" s="61" t="s">
        <v>424</v>
      </c>
      <c r="E36" s="62" t="n">
        <v>270</v>
      </c>
      <c r="F36" s="62" t="n">
        <v>275</v>
      </c>
      <c r="G36" s="61" t="s">
        <v>328</v>
      </c>
      <c r="H36" s="47" t="str">
        <f aca="false">IFERROR(googlefinance("NSE:AWL","price"),"–")</f>
        <v>–</v>
      </c>
      <c r="I36" s="63" t="n">
        <v>300</v>
      </c>
      <c r="J36" s="81" t="s">
        <v>361</v>
      </c>
      <c r="K36" s="81" t="s">
        <v>361</v>
      </c>
      <c r="L36" s="65" t="n">
        <v>260</v>
      </c>
      <c r="M36" s="66" t="s">
        <v>329</v>
      </c>
      <c r="N36" s="66" t="s">
        <v>425</v>
      </c>
      <c r="O36" s="52" t="s">
        <v>331</v>
      </c>
      <c r="P36" s="67" t="n">
        <v>-0.037037</v>
      </c>
      <c r="Q36" s="68" t="s">
        <v>332</v>
      </c>
      <c r="R36" s="61" t="n">
        <v>15</v>
      </c>
      <c r="S36" s="60" t="str">
        <f aca="false">IFERROR(VLOOKUP(B36,SectorMap!A:B,2,0),"FMCG")</f>
        <v>FMCG</v>
      </c>
      <c r="T36" s="69" t="str">
        <f aca="false">IFERROR(VLOOKUP(B36,SectorMap!A:C,3,0),"Edible oil")</f>
        <v>Edible oil</v>
      </c>
      <c r="U36" s="70" t="s">
        <v>399</v>
      </c>
      <c r="V36" s="71" t="n">
        <v>260</v>
      </c>
    </row>
    <row r="37" customFormat="false" ht="18.75" hidden="false" customHeight="true" outlineLevel="0" collapsed="false">
      <c r="A37" s="16" t="n">
        <v>33</v>
      </c>
      <c r="B37" s="43" t="s">
        <v>213</v>
      </c>
      <c r="C37" s="44" t="s">
        <v>213</v>
      </c>
      <c r="D37" s="45" t="s">
        <v>426</v>
      </c>
      <c r="E37" s="46" t="n">
        <v>1750</v>
      </c>
      <c r="F37" s="46" t="n">
        <v>1850</v>
      </c>
      <c r="G37" s="45" t="s">
        <v>328</v>
      </c>
      <c r="H37" s="47" t="str">
        <f aca="false">IFERROR(googlefinance("NSE:POLYMED","price"),"–")</f>
        <v>–</v>
      </c>
      <c r="I37" s="48" t="n">
        <v>2000</v>
      </c>
      <c r="J37" s="49" t="n">
        <v>2200</v>
      </c>
      <c r="K37" s="49" t="n">
        <v>2400</v>
      </c>
      <c r="L37" s="50" t="n">
        <v>1600</v>
      </c>
      <c r="M37" s="77" t="s">
        <v>427</v>
      </c>
      <c r="N37" s="77" t="s">
        <v>428</v>
      </c>
      <c r="O37" s="73" t="s">
        <v>346</v>
      </c>
      <c r="P37" s="53" t="n">
        <v>0</v>
      </c>
      <c r="Q37" s="79" t="s">
        <v>429</v>
      </c>
      <c r="R37" s="45" t="n">
        <v>35</v>
      </c>
      <c r="S37" s="44" t="str">
        <f aca="false">IFERROR(VLOOKUP(B37,SectorMap!A:B,2,0),"Healthcare")</f>
        <v>Healthcare</v>
      </c>
      <c r="T37" s="55" t="str">
        <f aca="false">IFERROR(VLOOKUP(B37,SectorMap!A:C,3,0),"Medical devices")</f>
        <v>Medical devices</v>
      </c>
      <c r="U37" s="80" t="s">
        <v>430</v>
      </c>
      <c r="V37" s="92" t="s">
        <v>361</v>
      </c>
    </row>
    <row r="38" customFormat="false" ht="18.75" hidden="false" customHeight="true" outlineLevel="0" collapsed="false">
      <c r="A38" s="58" t="n">
        <v>34</v>
      </c>
      <c r="B38" s="59" t="s">
        <v>221</v>
      </c>
      <c r="C38" s="60" t="s">
        <v>221</v>
      </c>
      <c r="D38" s="61" t="s">
        <v>426</v>
      </c>
      <c r="E38" s="62" t="n">
        <v>650</v>
      </c>
      <c r="F38" s="62" t="n">
        <v>700</v>
      </c>
      <c r="G38" s="61" t="s">
        <v>328</v>
      </c>
      <c r="H38" s="47" t="str">
        <f aca="false">IFERROR(googlefinance("NSE:YATHARTH","price"),"–")</f>
        <v>–</v>
      </c>
      <c r="I38" s="63" t="n">
        <v>850</v>
      </c>
      <c r="J38" s="64" t="n">
        <v>950</v>
      </c>
      <c r="K38" s="64" t="n">
        <v>1100</v>
      </c>
      <c r="L38" s="65" t="n">
        <v>600</v>
      </c>
      <c r="M38" s="72" t="s">
        <v>344</v>
      </c>
      <c r="N38" s="72" t="s">
        <v>431</v>
      </c>
      <c r="O38" s="73" t="s">
        <v>346</v>
      </c>
      <c r="P38" s="74" t="n">
        <v>0.307692</v>
      </c>
      <c r="Q38" s="75" t="s">
        <v>347</v>
      </c>
      <c r="R38" s="61" t="n">
        <v>30</v>
      </c>
      <c r="S38" s="60" t="str">
        <f aca="false">IFERROR(VLOOKUP(B38,SectorMap!A:B,2,0),"Healthcare")</f>
        <v>Healthcare</v>
      </c>
      <c r="T38" s="69" t="str">
        <f aca="false">IFERROR(VLOOKUP(B38,SectorMap!A:C,3,0),"Hospital growth")</f>
        <v>Hospital growth</v>
      </c>
      <c r="U38" s="76" t="s">
        <v>432</v>
      </c>
      <c r="V38" s="64" t="n">
        <v>850</v>
      </c>
    </row>
    <row r="39" customFormat="false" ht="18.75" hidden="false" customHeight="true" outlineLevel="0" collapsed="false">
      <c r="A39" s="16" t="n">
        <v>35</v>
      </c>
      <c r="B39" s="43" t="s">
        <v>223</v>
      </c>
      <c r="C39" s="44" t="s">
        <v>433</v>
      </c>
      <c r="D39" s="45" t="s">
        <v>426</v>
      </c>
      <c r="E39" s="46" t="n">
        <v>94</v>
      </c>
      <c r="F39" s="46" t="n">
        <v>95</v>
      </c>
      <c r="G39" s="45" t="s">
        <v>328</v>
      </c>
      <c r="H39" s="47" t="str">
        <f aca="false">IFERROR(googlefinance("NSE:GMRAIRPORT","price"),"–")</f>
        <v>–</v>
      </c>
      <c r="I39" s="48" t="n">
        <v>105</v>
      </c>
      <c r="J39" s="49" t="n">
        <v>110</v>
      </c>
      <c r="K39" s="49" t="n">
        <v>115</v>
      </c>
      <c r="L39" s="50" t="n">
        <v>90</v>
      </c>
      <c r="M39" s="77" t="s">
        <v>344</v>
      </c>
      <c r="N39" s="77" t="s">
        <v>434</v>
      </c>
      <c r="O39" s="73" t="s">
        <v>346</v>
      </c>
      <c r="P39" s="78" t="n">
        <v>0.117021</v>
      </c>
      <c r="Q39" s="79" t="s">
        <v>347</v>
      </c>
      <c r="R39" s="45" t="n">
        <v>30</v>
      </c>
      <c r="S39" s="44" t="str">
        <f aca="false">IFERROR(VLOOKUP(B39,SectorMap!A:B,2,0),"Infrastructure")</f>
        <v>Infrastructure</v>
      </c>
      <c r="T39" s="55" t="str">
        <f aca="false">IFERROR(VLOOKUP(B39,SectorMap!A:C,3,0),"Aviation infra")</f>
        <v>Aviation infra</v>
      </c>
      <c r="U39" s="80" t="s">
        <v>432</v>
      </c>
      <c r="V39" s="49" t="n">
        <v>105</v>
      </c>
    </row>
    <row r="40" customFormat="false" ht="18.75" hidden="false" customHeight="true" outlineLevel="0" collapsed="false">
      <c r="A40" s="58" t="n">
        <v>36</v>
      </c>
      <c r="B40" s="59" t="s">
        <v>219</v>
      </c>
      <c r="C40" s="60" t="s">
        <v>219</v>
      </c>
      <c r="D40" s="61" t="s">
        <v>435</v>
      </c>
      <c r="E40" s="62" t="n">
        <v>2800</v>
      </c>
      <c r="F40" s="62" t="n">
        <v>2840</v>
      </c>
      <c r="G40" s="61" t="s">
        <v>328</v>
      </c>
      <c r="H40" s="47" t="str">
        <f aca="false">IFERROR(googlefinance("NSE:GRSE","price"),"–")</f>
        <v>–</v>
      </c>
      <c r="I40" s="63" t="n">
        <v>3000</v>
      </c>
      <c r="J40" s="64" t="n">
        <v>3200</v>
      </c>
      <c r="K40" s="81" t="s">
        <v>361</v>
      </c>
      <c r="L40" s="65" t="n">
        <v>2750</v>
      </c>
      <c r="M40" s="72" t="s">
        <v>344</v>
      </c>
      <c r="N40" s="72" t="s">
        <v>436</v>
      </c>
      <c r="O40" s="73" t="s">
        <v>346</v>
      </c>
      <c r="P40" s="74" t="n">
        <v>0.071429</v>
      </c>
      <c r="Q40" s="75" t="s">
        <v>347</v>
      </c>
      <c r="R40" s="61" t="n">
        <v>30</v>
      </c>
      <c r="S40" s="60" t="str">
        <f aca="false">IFERROR(VLOOKUP(B40,SectorMap!A:B,2,0),"Defence")</f>
        <v>Defence</v>
      </c>
      <c r="T40" s="69" t="str">
        <f aca="false">IFERROR(VLOOKUP(B40,SectorMap!A:C,3,0),"Naval orders")</f>
        <v>Naval orders</v>
      </c>
      <c r="U40" s="76" t="s">
        <v>380</v>
      </c>
      <c r="V40" s="64" t="n">
        <v>3000</v>
      </c>
    </row>
    <row r="41" customFormat="false" ht="18.75" hidden="false" customHeight="true" outlineLevel="0" collapsed="false">
      <c r="A41" s="16" t="n">
        <v>37</v>
      </c>
      <c r="B41" s="43" t="s">
        <v>217</v>
      </c>
      <c r="C41" s="44" t="s">
        <v>437</v>
      </c>
      <c r="D41" s="45" t="s">
        <v>438</v>
      </c>
      <c r="E41" s="46" t="n">
        <v>180</v>
      </c>
      <c r="F41" s="46" t="n">
        <v>190</v>
      </c>
      <c r="G41" s="45" t="s">
        <v>328</v>
      </c>
      <c r="H41" s="47" t="str">
        <f aca="false">IFERROR(googlefinance("NSE:PPLPHARMA","price"),"–")</f>
        <v>–</v>
      </c>
      <c r="I41" s="48" t="n">
        <v>200</v>
      </c>
      <c r="J41" s="49" t="n">
        <v>210</v>
      </c>
      <c r="K41" s="49" t="n">
        <v>240</v>
      </c>
      <c r="L41" s="50" t="n">
        <v>178</v>
      </c>
      <c r="M41" s="28" t="str">
        <f aca="false">IF(OR(H41="",H41="–"),"–",IFERROR(IF(H41&lt;L41,"🔴 SL Hit",IF(AND(ISNUMBER(K41),H41&gt;=K41),"🎯 T3 Hit — Book!",IF(AND(ISNUMBER(J41),H41&gt;=J41),"🎯 T2 Hit — Book!",IF(AND(ISNUMBER(I41),H41&gt;=I41),"🎯 T1 Hit — Book!",IF(AND(H41&gt;=E41),"🟡 In/Above Buy Zone","🔻 Below Buy Zone"))))),"-"))</f>
        <v>–</v>
      </c>
      <c r="N41" s="88" t="str">
        <f aca="false">IF(M41="🎯 T3 Hit — Book!","🏆 BOOK T3 PROFITS!",IF(M41="🎯 T2 Hit — Book!","🎯 BOOK T2 PROFITS!",IF(M41="🎯 T1 Hit — Book!","📈 BOOK T1 PROFITS!",IF(M41="🔴 SL Hit","⚠️ EXIT NOW!",IF(M41="🟡 In/Above Buy Zone","🔔 BUY NOW!","⏳ Wait")))))</f>
        <v>⏳ Wait</v>
      </c>
      <c r="O41" s="84" t="s">
        <v>362</v>
      </c>
      <c r="P41" s="89" t="str">
        <f aca="false">IF(OR(ISBLANK(H41),H41="–",NOT(ISNUMBER(H41)),E41=0),"–",(H41-E41)/E41)</f>
        <v>–</v>
      </c>
      <c r="Q41" s="90" t="s">
        <v>362</v>
      </c>
      <c r="R41" s="45" t="n">
        <v>181</v>
      </c>
      <c r="S41" s="44" t="str">
        <f aca="false">IFERROR(VLOOKUP(B41,SectorMap!A:B,2,0),"Pharma")</f>
        <v>Pharma</v>
      </c>
      <c r="T41" s="55" t="str">
        <f aca="false">IFERROR(VLOOKUP(B41,SectorMap!A:C,3,0),"Generic exports")</f>
        <v>Generic exports</v>
      </c>
      <c r="U41" s="45" t="s">
        <v>363</v>
      </c>
      <c r="V41" s="35" t="s">
        <v>361</v>
      </c>
    </row>
    <row r="42" customFormat="false" ht="18.75" hidden="false" customHeight="true" outlineLevel="0" collapsed="false">
      <c r="A42" s="58" t="n">
        <v>38</v>
      </c>
      <c r="B42" s="59" t="s">
        <v>215</v>
      </c>
      <c r="C42" s="60" t="s">
        <v>215</v>
      </c>
      <c r="D42" s="61" t="s">
        <v>439</v>
      </c>
      <c r="E42" s="62" t="n">
        <v>480</v>
      </c>
      <c r="F42" s="62" t="n">
        <v>485</v>
      </c>
      <c r="G42" s="61" t="s">
        <v>328</v>
      </c>
      <c r="H42" s="47" t="str">
        <f aca="false">IFERROR(googlefinance("NSE:VBL","price"),"–")</f>
        <v>–</v>
      </c>
      <c r="I42" s="63" t="n">
        <v>500</v>
      </c>
      <c r="J42" s="64" t="n">
        <v>520</v>
      </c>
      <c r="K42" s="64" t="n">
        <v>600</v>
      </c>
      <c r="L42" s="65" t="n">
        <v>450</v>
      </c>
      <c r="M42" s="72" t="s">
        <v>344</v>
      </c>
      <c r="N42" s="72" t="s">
        <v>440</v>
      </c>
      <c r="O42" s="73" t="s">
        <v>346</v>
      </c>
      <c r="P42" s="74" t="n">
        <v>0.041667</v>
      </c>
      <c r="Q42" s="75" t="s">
        <v>347</v>
      </c>
      <c r="R42" s="61" t="n">
        <v>30</v>
      </c>
      <c r="S42" s="60" t="str">
        <f aca="false">IFERROR(VLOOKUP(B42,SectorMap!A:B,2,0),"Consumer")</f>
        <v>Consumer</v>
      </c>
      <c r="T42" s="69" t="str">
        <f aca="false">IFERROR(VLOOKUP(B42,SectorMap!A:C,3,0),"Beverage volumes")</f>
        <v>Beverage volumes</v>
      </c>
      <c r="U42" s="76" t="s">
        <v>441</v>
      </c>
      <c r="V42" s="64" t="n">
        <v>500</v>
      </c>
    </row>
    <row r="43" customFormat="false" ht="18.75" hidden="false" customHeight="true" outlineLevel="0" collapsed="false">
      <c r="A43" s="16" t="n">
        <v>39</v>
      </c>
      <c r="B43" s="43" t="s">
        <v>211</v>
      </c>
      <c r="C43" s="44" t="s">
        <v>211</v>
      </c>
      <c r="D43" s="45" t="s">
        <v>442</v>
      </c>
      <c r="E43" s="46" t="n">
        <v>114</v>
      </c>
      <c r="F43" s="46" t="n">
        <v>115</v>
      </c>
      <c r="G43" s="45" t="s">
        <v>328</v>
      </c>
      <c r="H43" s="47" t="str">
        <f aca="false">IFERROR(googlefinance("NSE:PNB","price"),"–")</f>
        <v>–</v>
      </c>
      <c r="I43" s="48" t="n">
        <v>145</v>
      </c>
      <c r="J43" s="49" t="n">
        <v>180</v>
      </c>
      <c r="K43" s="91" t="s">
        <v>361</v>
      </c>
      <c r="L43" s="50" t="n">
        <v>110</v>
      </c>
      <c r="M43" s="51" t="s">
        <v>329</v>
      </c>
      <c r="N43" s="51" t="s">
        <v>443</v>
      </c>
      <c r="O43" s="52" t="s">
        <v>331</v>
      </c>
      <c r="P43" s="53" t="n">
        <v>-0.035088</v>
      </c>
      <c r="Q43" s="54" t="s">
        <v>332</v>
      </c>
      <c r="R43" s="45" t="n">
        <v>15</v>
      </c>
      <c r="S43" s="44" t="str">
        <f aca="false">IFERROR(VLOOKUP(B43,SectorMap!A:B,2,0),"Banking")</f>
        <v>Banking</v>
      </c>
      <c r="T43" s="55" t="str">
        <f aca="false">IFERROR(VLOOKUP(B43,SectorMap!A:C,3,0),"PSU bank")</f>
        <v>PSU bank</v>
      </c>
      <c r="U43" s="56" t="s">
        <v>444</v>
      </c>
      <c r="V43" s="57" t="n">
        <v>110</v>
      </c>
    </row>
    <row r="44" customFormat="false" ht="18.75" hidden="false" customHeight="true" outlineLevel="0" collapsed="false">
      <c r="A44" s="58" t="n">
        <v>40</v>
      </c>
      <c r="B44" s="59" t="s">
        <v>213</v>
      </c>
      <c r="C44" s="60" t="s">
        <v>213</v>
      </c>
      <c r="D44" s="61" t="s">
        <v>442</v>
      </c>
      <c r="E44" s="62" t="n">
        <v>1825</v>
      </c>
      <c r="F44" s="62" t="n">
        <v>1850</v>
      </c>
      <c r="G44" s="61" t="s">
        <v>328</v>
      </c>
      <c r="H44" s="47" t="str">
        <f aca="false">IFERROR(googlefinance("NSE:POLYMED","price"),"–")</f>
        <v>–</v>
      </c>
      <c r="I44" s="63" t="n">
        <v>1900</v>
      </c>
      <c r="J44" s="64" t="n">
        <v>1950</v>
      </c>
      <c r="K44" s="64" t="n">
        <v>2000</v>
      </c>
      <c r="L44" s="65" t="n">
        <v>1750</v>
      </c>
      <c r="M44" s="66" t="s">
        <v>329</v>
      </c>
      <c r="N44" s="66" t="s">
        <v>445</v>
      </c>
      <c r="O44" s="52" t="s">
        <v>331</v>
      </c>
      <c r="P44" s="67" t="n">
        <v>-0.041096</v>
      </c>
      <c r="Q44" s="68" t="s">
        <v>332</v>
      </c>
      <c r="R44" s="61" t="n">
        <v>15</v>
      </c>
      <c r="S44" s="60" t="str">
        <f aca="false">IFERROR(VLOOKUP(B44,SectorMap!A:B,2,0),"Healthcare")</f>
        <v>Healthcare</v>
      </c>
      <c r="T44" s="69" t="str">
        <f aca="false">IFERROR(VLOOKUP(B44,SectorMap!A:C,3,0),"Medical devices")</f>
        <v>Medical devices</v>
      </c>
      <c r="U44" s="70" t="s">
        <v>444</v>
      </c>
      <c r="V44" s="71" t="n">
        <v>1750</v>
      </c>
    </row>
    <row r="45" customFormat="false" ht="18.75" hidden="false" customHeight="true" outlineLevel="0" collapsed="false">
      <c r="A45" s="16" t="n">
        <v>41</v>
      </c>
      <c r="B45" s="43" t="s">
        <v>204</v>
      </c>
      <c r="C45" s="44" t="s">
        <v>204</v>
      </c>
      <c r="D45" s="45" t="s">
        <v>446</v>
      </c>
      <c r="E45" s="46" t="n">
        <v>150</v>
      </c>
      <c r="F45" s="46" t="n">
        <v>153</v>
      </c>
      <c r="G45" s="45" t="s">
        <v>328</v>
      </c>
      <c r="H45" s="47" t="str">
        <f aca="false">IFERROR(googlefinance("NSE:PARADEEP","price"),"–")</f>
        <v>–</v>
      </c>
      <c r="I45" s="48" t="n">
        <v>160</v>
      </c>
      <c r="J45" s="49" t="n">
        <v>170</v>
      </c>
      <c r="K45" s="49" t="n">
        <v>180</v>
      </c>
      <c r="L45" s="50" t="n">
        <v>145</v>
      </c>
      <c r="M45" s="51" t="s">
        <v>329</v>
      </c>
      <c r="N45" s="51" t="s">
        <v>447</v>
      </c>
      <c r="O45" s="52" t="s">
        <v>331</v>
      </c>
      <c r="P45" s="53" t="n">
        <v>-0.033333</v>
      </c>
      <c r="Q45" s="54" t="s">
        <v>332</v>
      </c>
      <c r="R45" s="45" t="n">
        <v>15</v>
      </c>
      <c r="S45" s="44" t="str">
        <f aca="false">IFERROR(VLOOKUP(B45,SectorMap!A:B,2,0),"Chemicals")</f>
        <v>Chemicals</v>
      </c>
      <c r="T45" s="55" t="str">
        <f aca="false">IFERROR(VLOOKUP(B45,SectorMap!A:C,3,0),"Fertilisers")</f>
        <v>Fertilisers</v>
      </c>
      <c r="U45" s="56" t="s">
        <v>448</v>
      </c>
      <c r="V45" s="57" t="n">
        <v>145</v>
      </c>
    </row>
    <row r="46" customFormat="false" ht="18.75" hidden="false" customHeight="true" outlineLevel="0" collapsed="false">
      <c r="A46" s="58" t="n">
        <v>42</v>
      </c>
      <c r="B46" s="59" t="s">
        <v>206</v>
      </c>
      <c r="C46" s="60" t="s">
        <v>206</v>
      </c>
      <c r="D46" s="61" t="s">
        <v>446</v>
      </c>
      <c r="E46" s="62" t="n">
        <v>85</v>
      </c>
      <c r="F46" s="62" t="n">
        <v>86</v>
      </c>
      <c r="G46" s="61" t="s">
        <v>328</v>
      </c>
      <c r="H46" s="47" t="str">
        <f aca="false">IFERROR(googlefinance("NSE:NFL","price"),"–")</f>
        <v>–</v>
      </c>
      <c r="I46" s="63" t="n">
        <v>90</v>
      </c>
      <c r="J46" s="64" t="n">
        <v>95</v>
      </c>
      <c r="K46" s="64" t="n">
        <v>100</v>
      </c>
      <c r="L46" s="65" t="n">
        <v>80</v>
      </c>
      <c r="M46" s="66" t="s">
        <v>329</v>
      </c>
      <c r="N46" s="66" t="s">
        <v>383</v>
      </c>
      <c r="O46" s="52" t="s">
        <v>331</v>
      </c>
      <c r="P46" s="67" t="n">
        <v>-0.058824</v>
      </c>
      <c r="Q46" s="68" t="s">
        <v>332</v>
      </c>
      <c r="R46" s="61" t="n">
        <v>15</v>
      </c>
      <c r="S46" s="60" t="str">
        <f aca="false">IFERROR(VLOOKUP(B46,SectorMap!A:B,2,0),"Chemicals")</f>
        <v>Chemicals</v>
      </c>
      <c r="T46" s="69" t="str">
        <f aca="false">IFERROR(VLOOKUP(B46,SectorMap!A:C,3,0),"Urea demand")</f>
        <v>Urea demand</v>
      </c>
      <c r="U46" s="70" t="s">
        <v>448</v>
      </c>
      <c r="V46" s="71" t="n">
        <v>80</v>
      </c>
    </row>
    <row r="47" customFormat="false" ht="18.75" hidden="false" customHeight="true" outlineLevel="0" collapsed="false">
      <c r="A47" s="16" t="n">
        <v>43</v>
      </c>
      <c r="B47" s="43" t="s">
        <v>208</v>
      </c>
      <c r="C47" s="44" t="s">
        <v>449</v>
      </c>
      <c r="D47" s="45" t="s">
        <v>446</v>
      </c>
      <c r="E47" s="46" t="n">
        <v>40</v>
      </c>
      <c r="F47" s="46" t="n">
        <v>41</v>
      </c>
      <c r="G47" s="45" t="s">
        <v>328</v>
      </c>
      <c r="H47" s="47" t="str">
        <f aca="false">IFERROR(googlefinance("NSE:JISLJALEQS","price"),"–")</f>
        <v>–</v>
      </c>
      <c r="I47" s="48" t="n">
        <v>45</v>
      </c>
      <c r="J47" s="49" t="n">
        <v>50</v>
      </c>
      <c r="K47" s="49" t="n">
        <v>55</v>
      </c>
      <c r="L47" s="50" t="n">
        <v>38</v>
      </c>
      <c r="M47" s="51" t="s">
        <v>329</v>
      </c>
      <c r="N47" s="51" t="s">
        <v>450</v>
      </c>
      <c r="O47" s="52" t="s">
        <v>331</v>
      </c>
      <c r="P47" s="53" t="n">
        <v>-0.05</v>
      </c>
      <c r="Q47" s="54" t="s">
        <v>332</v>
      </c>
      <c r="R47" s="45" t="n">
        <v>15</v>
      </c>
      <c r="S47" s="44" t="str">
        <f aca="false">IFERROR(VLOOKUP(B47,SectorMap!A:B,2,0),"Agri")</f>
        <v>Agri</v>
      </c>
      <c r="T47" s="55" t="str">
        <f aca="false">IFERROR(VLOOKUP(B47,SectorMap!A:C,3,0),"Agri infra")</f>
        <v>Agri infra</v>
      </c>
      <c r="U47" s="56" t="s">
        <v>448</v>
      </c>
      <c r="V47" s="57" t="n">
        <v>38</v>
      </c>
    </row>
    <row r="48" customFormat="false" ht="18.75" hidden="false" customHeight="true" outlineLevel="0" collapsed="false">
      <c r="A48" s="58" t="n">
        <v>44</v>
      </c>
      <c r="B48" s="59" t="s">
        <v>198</v>
      </c>
      <c r="C48" s="60" t="s">
        <v>451</v>
      </c>
      <c r="D48" s="61" t="s">
        <v>452</v>
      </c>
      <c r="E48" s="62" t="n">
        <v>575</v>
      </c>
      <c r="F48" s="62" t="n">
        <v>580</v>
      </c>
      <c r="G48" s="61" t="s">
        <v>328</v>
      </c>
      <c r="H48" s="47" t="str">
        <f aca="false">IFERROR(googlefinance("NSE:HINDZINC","price"),"–")</f>
        <v>–</v>
      </c>
      <c r="I48" s="63" t="n">
        <v>650</v>
      </c>
      <c r="J48" s="64" t="n">
        <v>700</v>
      </c>
      <c r="K48" s="81" t="s">
        <v>361</v>
      </c>
      <c r="L48" s="65" t="n">
        <v>600</v>
      </c>
      <c r="M48" s="72" t="s">
        <v>375</v>
      </c>
      <c r="N48" s="72" t="s">
        <v>453</v>
      </c>
      <c r="O48" s="73" t="s">
        <v>346</v>
      </c>
      <c r="P48" s="74" t="n">
        <v>0.217391</v>
      </c>
      <c r="Q48" s="75" t="s">
        <v>377</v>
      </c>
      <c r="R48" s="61" t="n">
        <v>45</v>
      </c>
      <c r="S48" s="60" t="str">
        <f aca="false">IFERROR(VLOOKUP(B48,SectorMap!A:B,2,0),"Metals")</f>
        <v>Metals</v>
      </c>
      <c r="T48" s="69" t="str">
        <f aca="false">IFERROR(VLOOKUP(B48,SectorMap!A:C,3,0),"Zinc upcycle")</f>
        <v>Zinc upcycle</v>
      </c>
      <c r="U48" s="76" t="s">
        <v>454</v>
      </c>
      <c r="V48" s="64" t="n">
        <v>700</v>
      </c>
    </row>
    <row r="49" customFormat="false" ht="18.75" hidden="false" customHeight="true" outlineLevel="0" collapsed="false">
      <c r="A49" s="16" t="n">
        <v>45</v>
      </c>
      <c r="B49" s="43" t="s">
        <v>202</v>
      </c>
      <c r="C49" s="44" t="s">
        <v>202</v>
      </c>
      <c r="D49" s="45" t="s">
        <v>360</v>
      </c>
      <c r="E49" s="46" t="n">
        <v>475</v>
      </c>
      <c r="F49" s="46" t="n">
        <v>480</v>
      </c>
      <c r="G49" s="45" t="s">
        <v>328</v>
      </c>
      <c r="H49" s="47" t="str">
        <f aca="false">IFERROR(googlefinance("NSE:SWANCORP","price"),"–")</f>
        <v>–</v>
      </c>
      <c r="I49" s="48" t="n">
        <v>510</v>
      </c>
      <c r="J49" s="49" t="n">
        <v>530</v>
      </c>
      <c r="K49" s="49" t="n">
        <v>585</v>
      </c>
      <c r="L49" s="50" t="n">
        <v>450</v>
      </c>
      <c r="M49" s="51" t="s">
        <v>329</v>
      </c>
      <c r="N49" s="51" t="s">
        <v>455</v>
      </c>
      <c r="O49" s="52" t="s">
        <v>331</v>
      </c>
      <c r="P49" s="53" t="n">
        <v>-0.052632</v>
      </c>
      <c r="Q49" s="54" t="s">
        <v>332</v>
      </c>
      <c r="R49" s="45" t="n">
        <v>15</v>
      </c>
      <c r="S49" s="44" t="str">
        <f aca="false">IFERROR(VLOOKUP(B49,SectorMap!A:B,2,0),"Finance")</f>
        <v>Finance</v>
      </c>
      <c r="T49" s="55" t="str">
        <f aca="false">IFERROR(VLOOKUP(B49,SectorMap!A:C,3,0),"Micro-cap")</f>
        <v>Micro-cap</v>
      </c>
      <c r="U49" s="56" t="s">
        <v>456</v>
      </c>
      <c r="V49" s="57" t="n">
        <v>450</v>
      </c>
    </row>
    <row r="50" customFormat="false" ht="18.75" hidden="false" customHeight="true" outlineLevel="0" collapsed="false">
      <c r="A50" s="58" t="n">
        <v>46</v>
      </c>
      <c r="B50" s="59" t="s">
        <v>200</v>
      </c>
      <c r="C50" s="60" t="s">
        <v>200</v>
      </c>
      <c r="D50" s="61" t="s">
        <v>432</v>
      </c>
      <c r="E50" s="62" t="n">
        <v>200</v>
      </c>
      <c r="F50" s="62" t="n">
        <v>206</v>
      </c>
      <c r="G50" s="61" t="s">
        <v>328</v>
      </c>
      <c r="H50" s="47" t="str">
        <f aca="false">IFERROR(googlefinance("NSE:MOSCHIP","price"),"–")</f>
        <v>–</v>
      </c>
      <c r="I50" s="63" t="n">
        <v>230</v>
      </c>
      <c r="J50" s="64" t="n">
        <v>250</v>
      </c>
      <c r="K50" s="64" t="n">
        <v>265</v>
      </c>
      <c r="L50" s="65" t="n">
        <v>199</v>
      </c>
      <c r="M50" s="72" t="s">
        <v>344</v>
      </c>
      <c r="N50" s="72" t="s">
        <v>457</v>
      </c>
      <c r="O50" s="73" t="s">
        <v>346</v>
      </c>
      <c r="P50" s="74" t="n">
        <v>0.15</v>
      </c>
      <c r="Q50" s="75" t="s">
        <v>347</v>
      </c>
      <c r="R50" s="61" t="n">
        <v>30</v>
      </c>
      <c r="S50" s="60" t="str">
        <f aca="false">IFERROR(VLOOKUP(B50,SectorMap!A:B,2,0),"IT")</f>
        <v>IT</v>
      </c>
      <c r="T50" s="69" t="str">
        <f aca="false">IFERROR(VLOOKUP(B50,SectorMap!A:C,3,0),"Semiconductor")</f>
        <v>Semiconductor</v>
      </c>
      <c r="U50" s="76" t="s">
        <v>458</v>
      </c>
      <c r="V50" s="64" t="n">
        <v>230</v>
      </c>
    </row>
    <row r="51" customFormat="false" ht="18.75" hidden="false" customHeight="true" outlineLevel="0" collapsed="false">
      <c r="A51" s="16" t="n">
        <v>47</v>
      </c>
      <c r="B51" s="43" t="s">
        <v>196</v>
      </c>
      <c r="C51" s="44" t="s">
        <v>196</v>
      </c>
      <c r="D51" s="45" t="s">
        <v>459</v>
      </c>
      <c r="E51" s="46" t="n">
        <v>275</v>
      </c>
      <c r="F51" s="46" t="n">
        <v>280</v>
      </c>
      <c r="G51" s="45" t="s">
        <v>328</v>
      </c>
      <c r="H51" s="47" t="str">
        <f aca="false">IFERROR(googlefinance("NSE:PETRONET","price"),"–")</f>
        <v>–</v>
      </c>
      <c r="I51" s="48" t="n">
        <v>320</v>
      </c>
      <c r="J51" s="49" t="n">
        <v>350</v>
      </c>
      <c r="K51" s="91" t="s">
        <v>361</v>
      </c>
      <c r="L51" s="50" t="n">
        <v>250</v>
      </c>
      <c r="M51" s="28" t="str">
        <f aca="false">IF(OR(H51="",H51="–"),"–",IFERROR(IF(H51&lt;L51,"🔴 SL Hit",IF(AND(ISNUMBER(K51),H51&gt;=K51),"🎯 T3 Hit — Book!",IF(AND(ISNUMBER(J51),H51&gt;=J51),"🎯 T2 Hit — Book!",IF(AND(ISNUMBER(I51),H51&gt;=I51),"🎯 T1 Hit — Book!",IF(AND(H51&gt;=E51),"🟡 In/Above Buy Zone","🔻 Below Buy Zone"))))),"-"))</f>
        <v>–</v>
      </c>
      <c r="N51" s="88" t="str">
        <f aca="false">IF(M51="🎯 T3 Hit — Book!","🏆 BOOK T3 PROFITS!",IF(M51="🎯 T2 Hit — Book!","🎯 BOOK T2 PROFITS!",IF(M51="🎯 T1 Hit — Book!","📈 BOOK T1 PROFITS!",IF(M51="🔴 SL Hit","⚠️ EXIT NOW!",IF(M51="🟡 In/Above Buy Zone","🔔 BUY NOW!","⏳ Wait")))))</f>
        <v>⏳ Wait</v>
      </c>
      <c r="O51" s="84" t="s">
        <v>362</v>
      </c>
      <c r="P51" s="89" t="str">
        <f aca="false">IF(OR(ISBLANK(H51),H51="–",NOT(ISNUMBER(H51)),E51=0),"–",(H51-E51)/E51)</f>
        <v>–</v>
      </c>
      <c r="Q51" s="90" t="s">
        <v>362</v>
      </c>
      <c r="R51" s="45" t="n">
        <v>151</v>
      </c>
      <c r="S51" s="44" t="str">
        <f aca="false">IFERROR(VLOOKUP(B51,SectorMap!A:B,2,0),"Energy")</f>
        <v>Energy</v>
      </c>
      <c r="T51" s="55" t="str">
        <f aca="false">IFERROR(VLOOKUP(B51,SectorMap!A:C,3,0),"LNG terminal")</f>
        <v>LNG terminal</v>
      </c>
      <c r="U51" s="45" t="s">
        <v>363</v>
      </c>
      <c r="V51" s="35" t="s">
        <v>361</v>
      </c>
    </row>
    <row r="52" customFormat="false" ht="18.75" hidden="false" customHeight="true" outlineLevel="0" collapsed="false">
      <c r="A52" s="58" t="n">
        <v>48</v>
      </c>
      <c r="B52" s="59" t="s">
        <v>194</v>
      </c>
      <c r="C52" s="60" t="s">
        <v>460</v>
      </c>
      <c r="D52" s="61" t="s">
        <v>448</v>
      </c>
      <c r="E52" s="62" t="n">
        <v>820</v>
      </c>
      <c r="F52" s="62" t="n">
        <v>825</v>
      </c>
      <c r="G52" s="61" t="s">
        <v>328</v>
      </c>
      <c r="H52" s="47" t="str">
        <f aca="false">IFERROR(googlefinance("NSE:JSL","price"),"–")</f>
        <v>–</v>
      </c>
      <c r="I52" s="63" t="n">
        <v>900</v>
      </c>
      <c r="J52" s="64" t="n">
        <v>1000</v>
      </c>
      <c r="K52" s="64" t="n">
        <v>1100</v>
      </c>
      <c r="L52" s="65" t="n">
        <v>775</v>
      </c>
      <c r="M52" s="66" t="s">
        <v>329</v>
      </c>
      <c r="N52" s="66" t="s">
        <v>461</v>
      </c>
      <c r="O52" s="52" t="s">
        <v>331</v>
      </c>
      <c r="P52" s="67" t="n">
        <v>-0.054878</v>
      </c>
      <c r="Q52" s="68" t="s">
        <v>332</v>
      </c>
      <c r="R52" s="61" t="n">
        <v>15</v>
      </c>
      <c r="S52" s="60" t="str">
        <f aca="false">IFERROR(VLOOKUP(B52,SectorMap!A:B,2,0),"Metals")</f>
        <v>Metals</v>
      </c>
      <c r="T52" s="69" t="str">
        <f aca="false">IFERROR(VLOOKUP(B52,SectorMap!A:C,3,0),"SS demand")</f>
        <v>SS demand</v>
      </c>
      <c r="U52" s="70" t="s">
        <v>462</v>
      </c>
      <c r="V52" s="71" t="n">
        <v>775</v>
      </c>
    </row>
    <row r="53" customFormat="false" ht="18.75" hidden="false" customHeight="true" outlineLevel="0" collapsed="false">
      <c r="A53" s="16" t="n">
        <v>49</v>
      </c>
      <c r="B53" s="43" t="s">
        <v>189</v>
      </c>
      <c r="C53" s="44" t="s">
        <v>189</v>
      </c>
      <c r="D53" s="45" t="s">
        <v>418</v>
      </c>
      <c r="E53" s="46" t="n">
        <v>205</v>
      </c>
      <c r="F53" s="46" t="n">
        <v>210</v>
      </c>
      <c r="G53" s="45" t="s">
        <v>328</v>
      </c>
      <c r="H53" s="47" t="str">
        <f aca="false">IFERROR(googlefinance("NSE:DAMCAPITAL","price"),"–")</f>
        <v>–</v>
      </c>
      <c r="I53" s="48" t="n">
        <v>250</v>
      </c>
      <c r="J53" s="49" t="n">
        <v>275</v>
      </c>
      <c r="K53" s="49" t="n">
        <v>290</v>
      </c>
      <c r="L53" s="50" t="n">
        <v>198</v>
      </c>
      <c r="M53" s="51" t="s">
        <v>329</v>
      </c>
      <c r="N53" s="51" t="s">
        <v>463</v>
      </c>
      <c r="O53" s="52" t="s">
        <v>331</v>
      </c>
      <c r="P53" s="53" t="n">
        <v>-0.034146</v>
      </c>
      <c r="Q53" s="54" t="s">
        <v>332</v>
      </c>
      <c r="R53" s="45" t="n">
        <v>15</v>
      </c>
      <c r="S53" s="44" t="str">
        <f aca="false">IFERROR(VLOOKUP(B53,SectorMap!A:B,2,0),"Finance")</f>
        <v>Finance</v>
      </c>
      <c r="T53" s="55" t="str">
        <f aca="false">IFERROR(VLOOKUP(B53,SectorMap!A:C,3,0),"IB deal flow")</f>
        <v>IB deal flow</v>
      </c>
      <c r="U53" s="56" t="s">
        <v>464</v>
      </c>
      <c r="V53" s="57" t="n">
        <v>198</v>
      </c>
    </row>
    <row r="54" customFormat="false" ht="18.75" hidden="false" customHeight="true" outlineLevel="0" collapsed="false">
      <c r="A54" s="58" t="n">
        <v>50</v>
      </c>
      <c r="B54" s="59" t="s">
        <v>191</v>
      </c>
      <c r="C54" s="60" t="s">
        <v>191</v>
      </c>
      <c r="D54" s="61" t="s">
        <v>418</v>
      </c>
      <c r="E54" s="62" t="n">
        <v>430</v>
      </c>
      <c r="F54" s="62" t="n">
        <v>440</v>
      </c>
      <c r="G54" s="61" t="s">
        <v>328</v>
      </c>
      <c r="H54" s="47" t="str">
        <f aca="false">IFERROR(googlefinance("NSE:MAMATA","price"),"–")</f>
        <v>–</v>
      </c>
      <c r="I54" s="63" t="n">
        <v>460</v>
      </c>
      <c r="J54" s="64" t="n">
        <v>475</v>
      </c>
      <c r="K54" s="64" t="n">
        <v>500</v>
      </c>
      <c r="L54" s="65" t="n">
        <v>400</v>
      </c>
      <c r="M54" s="82" t="str">
        <f aca="false">IF(OR(H54="",H54="–"),"–",IFERROR(IF(H54&lt;L54,"🔴 SL Hit",IF(AND(ISNUMBER(K54),H54&gt;=K54),"🎯 T3 Hit — Book!",IF(AND(ISNUMBER(J54),H54&gt;=J54),"🎯 T2 Hit — Book!",IF(AND(ISNUMBER(I54),H54&gt;=I54),"🎯 T1 Hit — Book!",IF(AND(H54&gt;=E54),"🟡 In/Above Buy Zone","🔻 Below Buy Zone"))))),"-"))</f>
        <v>–</v>
      </c>
      <c r="N54" s="83" t="str">
        <f aca="false">IF(M54="🎯 T3 Hit — Book!","🏆 BOOK T3 PROFITS!",IF(M54="🎯 T2 Hit — Book!","🎯 BOOK T2 PROFITS!",IF(M54="🎯 T1 Hit — Book!","📈 BOOK T1 PROFITS!",IF(M54="🔴 SL Hit","⚠️ EXIT NOW!",IF(M54="🟡 In/Above Buy Zone","🔔 BUY NOW!","⏳ Wait")))))</f>
        <v>⏳ Wait</v>
      </c>
      <c r="O54" s="84" t="s">
        <v>362</v>
      </c>
      <c r="P54" s="85" t="str">
        <f aca="false">IF(OR(ISBLANK(H54),H54="–",NOT(ISNUMBER(H54)),E54=0),"–",(H54-E54)/E54)</f>
        <v>–</v>
      </c>
      <c r="Q54" s="86" t="s">
        <v>362</v>
      </c>
      <c r="R54" s="61" t="n">
        <v>147</v>
      </c>
      <c r="S54" s="60" t="str">
        <f aca="false">IFERROR(VLOOKUP(B54,SectorMap!A:B,2,0),"Packaging")</f>
        <v>Packaging</v>
      </c>
      <c r="T54" s="69" t="str">
        <f aca="false">IFERROR(VLOOKUP(B54,SectorMap!A:C,3,0),"Export packaging")</f>
        <v>Export packaging</v>
      </c>
      <c r="U54" s="61" t="s">
        <v>363</v>
      </c>
      <c r="V54" s="87" t="s">
        <v>361</v>
      </c>
    </row>
    <row r="55" customFormat="false" ht="18.75" hidden="false" customHeight="true" outlineLevel="0" collapsed="false">
      <c r="A55" s="16" t="n">
        <v>51</v>
      </c>
      <c r="B55" s="43" t="s">
        <v>185</v>
      </c>
      <c r="C55" s="44" t="s">
        <v>185</v>
      </c>
      <c r="D55" s="45" t="s">
        <v>396</v>
      </c>
      <c r="E55" s="46" t="n">
        <v>290</v>
      </c>
      <c r="F55" s="46" t="n">
        <v>294</v>
      </c>
      <c r="G55" s="45" t="s">
        <v>328</v>
      </c>
      <c r="H55" s="47" t="str">
        <f aca="false">IFERROR(googlefinance("NSE:BHEL","price"),"–")</f>
        <v>–</v>
      </c>
      <c r="I55" s="48" t="n">
        <v>350</v>
      </c>
      <c r="J55" s="49" t="n">
        <v>375</v>
      </c>
      <c r="K55" s="49" t="n">
        <v>400</v>
      </c>
      <c r="L55" s="50" t="n">
        <v>250</v>
      </c>
      <c r="M55" s="77" t="s">
        <v>351</v>
      </c>
      <c r="N55" s="77" t="s">
        <v>465</v>
      </c>
      <c r="O55" s="73" t="s">
        <v>346</v>
      </c>
      <c r="P55" s="78" t="n">
        <v>0.37931</v>
      </c>
      <c r="Q55" s="79" t="s">
        <v>353</v>
      </c>
      <c r="R55" s="45" t="n">
        <v>60</v>
      </c>
      <c r="S55" s="44" t="str">
        <f aca="false">IFERROR(VLOOKUP(B55,SectorMap!A:B,2,0),"Industrials")</f>
        <v>Industrials</v>
      </c>
      <c r="T55" s="55" t="str">
        <f aca="false">IFERROR(VLOOKUP(B55,SectorMap!A:C,3,0),"PSU capex")</f>
        <v>PSU capex</v>
      </c>
      <c r="U55" s="80" t="s">
        <v>466</v>
      </c>
      <c r="V55" s="49" t="n">
        <v>400</v>
      </c>
    </row>
    <row r="56" customFormat="false" ht="18.75" hidden="false" customHeight="true" outlineLevel="0" collapsed="false">
      <c r="A56" s="58" t="n">
        <v>52</v>
      </c>
      <c r="B56" s="59" t="s">
        <v>187</v>
      </c>
      <c r="C56" s="60" t="s">
        <v>467</v>
      </c>
      <c r="D56" s="61" t="s">
        <v>396</v>
      </c>
      <c r="E56" s="62" t="n">
        <v>600</v>
      </c>
      <c r="F56" s="62" t="n">
        <v>610</v>
      </c>
      <c r="G56" s="61" t="s">
        <v>328</v>
      </c>
      <c r="H56" s="47" t="str">
        <f aca="false">IFERROR(googlefinance("NSE:GRAPHITE","price"),"–")</f>
        <v>–</v>
      </c>
      <c r="I56" s="63" t="n">
        <v>650</v>
      </c>
      <c r="J56" s="64" t="n">
        <v>675</v>
      </c>
      <c r="K56" s="64" t="n">
        <v>750</v>
      </c>
      <c r="L56" s="65" t="n">
        <v>550</v>
      </c>
      <c r="M56" s="72" t="s">
        <v>351</v>
      </c>
      <c r="N56" s="72" t="s">
        <v>468</v>
      </c>
      <c r="O56" s="73" t="s">
        <v>346</v>
      </c>
      <c r="P56" s="74" t="n">
        <v>0.25</v>
      </c>
      <c r="Q56" s="75" t="s">
        <v>353</v>
      </c>
      <c r="R56" s="61" t="n">
        <v>60</v>
      </c>
      <c r="S56" s="60" t="str">
        <f aca="false">IFERROR(VLOOKUP(B56,SectorMap!A:B,2,0),"Metals")</f>
        <v>Metals</v>
      </c>
      <c r="T56" s="69" t="str">
        <f aca="false">IFERROR(VLOOKUP(B56,SectorMap!A:C,3,0),"EV anode demand")</f>
        <v>EV anode demand</v>
      </c>
      <c r="U56" s="76" t="s">
        <v>466</v>
      </c>
      <c r="V56" s="64" t="n">
        <v>750</v>
      </c>
    </row>
    <row r="57" customFormat="false" ht="18.75" hidden="false" customHeight="true" outlineLevel="0" collapsed="false">
      <c r="A57" s="16" t="n">
        <v>53</v>
      </c>
      <c r="B57" s="43" t="s">
        <v>3</v>
      </c>
      <c r="C57" s="44" t="s">
        <v>469</v>
      </c>
      <c r="D57" s="45" t="s">
        <v>470</v>
      </c>
      <c r="E57" s="46" t="n">
        <v>1575</v>
      </c>
      <c r="F57" s="46" t="n">
        <v>1585</v>
      </c>
      <c r="G57" s="45" t="s">
        <v>328</v>
      </c>
      <c r="H57" s="47" t="str">
        <f aca="false">IFERROR(googlefinance("NSE:RELIANCE","price"),"–")</f>
        <v>–</v>
      </c>
      <c r="I57" s="48" t="n">
        <v>1650</v>
      </c>
      <c r="J57" s="49" t="n">
        <v>1700</v>
      </c>
      <c r="K57" s="49" t="n">
        <v>2000</v>
      </c>
      <c r="L57" s="50" t="n">
        <v>1550</v>
      </c>
      <c r="M57" s="51" t="s">
        <v>329</v>
      </c>
      <c r="N57" s="51" t="s">
        <v>471</v>
      </c>
      <c r="O57" s="52" t="s">
        <v>331</v>
      </c>
      <c r="P57" s="53" t="n">
        <v>-0.015873</v>
      </c>
      <c r="Q57" s="54" t="s">
        <v>332</v>
      </c>
      <c r="R57" s="45" t="n">
        <v>15</v>
      </c>
      <c r="S57" s="44" t="str">
        <f aca="false">IFERROR(VLOOKUP(B57,SectorMap!A:B,2,0),"Energy")</f>
        <v>Energy</v>
      </c>
      <c r="T57" s="55" t="str">
        <f aca="false">IFERROR(VLOOKUP(B57,SectorMap!A:C,3,0),"Strong Q2")</f>
        <v>Strong Q2</v>
      </c>
      <c r="U57" s="56" t="s">
        <v>472</v>
      </c>
      <c r="V57" s="57" t="n">
        <v>1550</v>
      </c>
    </row>
    <row r="58" customFormat="false" ht="18.75" hidden="false" customHeight="true" outlineLevel="0" collapsed="false">
      <c r="A58" s="58" t="n">
        <v>54</v>
      </c>
      <c r="B58" s="59" t="s">
        <v>177</v>
      </c>
      <c r="C58" s="60" t="s">
        <v>473</v>
      </c>
      <c r="D58" s="61" t="s">
        <v>474</v>
      </c>
      <c r="E58" s="62" t="n">
        <v>250</v>
      </c>
      <c r="F58" s="62" t="n">
        <v>255</v>
      </c>
      <c r="G58" s="61" t="s">
        <v>328</v>
      </c>
      <c r="H58" s="47" t="str">
        <f aca="false">IFERROR(googlefinance("NSE:NORTHARC","price"),"–")</f>
        <v>–</v>
      </c>
      <c r="I58" s="63" t="n">
        <v>275</v>
      </c>
      <c r="J58" s="64" t="n">
        <v>290</v>
      </c>
      <c r="K58" s="64" t="n">
        <v>300</v>
      </c>
      <c r="L58" s="65" t="n">
        <v>225</v>
      </c>
      <c r="M58" s="82" t="str">
        <f aca="false">IF(OR(H58="",H58="–"),"–",IFERROR(IF(H58&lt;L58,"🔴 SL Hit",IF(AND(ISNUMBER(K58),H58&gt;=K58),"🎯 T3 Hit — Book!",IF(AND(ISNUMBER(J58),H58&gt;=J58),"🎯 T2 Hit — Book!",IF(AND(ISNUMBER(I58),H58&gt;=I58),"🎯 T1 Hit — Book!",IF(AND(H58&gt;=E58),"🟡 In/Above Buy Zone","🔻 Below Buy Zone"))))),"-"))</f>
        <v>–</v>
      </c>
      <c r="N58" s="83" t="str">
        <f aca="false">IF(M58="🎯 T3 Hit — Book!","🏆 BOOK T3 PROFITS!",IF(M58="🎯 T2 Hit — Book!","🎯 BOOK T2 PROFITS!",IF(M58="🎯 T1 Hit — Book!","📈 BOOK T1 PROFITS!",IF(M58="🔴 SL Hit","⚠️ EXIT NOW!",IF(M58="🟡 In/Above Buy Zone","🔔 BUY NOW!","⏳ Wait")))))</f>
        <v>⏳ Wait</v>
      </c>
      <c r="O58" s="84" t="s">
        <v>362</v>
      </c>
      <c r="P58" s="85" t="str">
        <f aca="false">IF(OR(ISBLANK(H58),H58="–",NOT(ISNUMBER(H58)),E58=0),"–",(H58-E58)/E58)</f>
        <v>–</v>
      </c>
      <c r="Q58" s="86" t="s">
        <v>362</v>
      </c>
      <c r="R58" s="61" t="n">
        <v>142</v>
      </c>
      <c r="S58" s="60" t="str">
        <f aca="false">IFERROR(VLOOKUP(B58,SectorMap!A:B,2,0),"NBFC")</f>
        <v>NBFC</v>
      </c>
      <c r="T58" s="69" t="str">
        <f aca="false">IFERROR(VLOOKUP(B58,SectorMap!A:C,3,0),"Credit growth")</f>
        <v>Credit growth</v>
      </c>
      <c r="U58" s="61" t="s">
        <v>363</v>
      </c>
      <c r="V58" s="87" t="s">
        <v>361</v>
      </c>
    </row>
    <row r="59" customFormat="false" ht="18.75" hidden="false" customHeight="true" outlineLevel="0" collapsed="false">
      <c r="A59" s="16" t="n">
        <v>55</v>
      </c>
      <c r="B59" s="43" t="s">
        <v>179</v>
      </c>
      <c r="C59" s="44" t="s">
        <v>179</v>
      </c>
      <c r="D59" s="45" t="s">
        <v>474</v>
      </c>
      <c r="E59" s="46" t="n">
        <v>220</v>
      </c>
      <c r="F59" s="46" t="n">
        <v>225</v>
      </c>
      <c r="G59" s="45" t="s">
        <v>328</v>
      </c>
      <c r="H59" s="47" t="str">
        <f aca="false">IFERROR(googlefinance("NSE:MINDTECK","price"),"–")</f>
        <v>–</v>
      </c>
      <c r="I59" s="48" t="n">
        <v>260</v>
      </c>
      <c r="J59" s="49" t="n">
        <v>270</v>
      </c>
      <c r="K59" s="49" t="n">
        <v>280</v>
      </c>
      <c r="L59" s="50" t="n">
        <v>230</v>
      </c>
      <c r="M59" s="51" t="s">
        <v>329</v>
      </c>
      <c r="N59" s="51" t="s">
        <v>475</v>
      </c>
      <c r="O59" s="52" t="s">
        <v>331</v>
      </c>
      <c r="P59" s="78" t="n">
        <v>0.045455</v>
      </c>
      <c r="Q59" s="54" t="s">
        <v>332</v>
      </c>
      <c r="R59" s="45" t="n">
        <v>15</v>
      </c>
      <c r="S59" s="44" t="str">
        <f aca="false">IFERROR(VLOOKUP(B59,SectorMap!A:B,2,0),"IT")</f>
        <v>IT</v>
      </c>
      <c r="T59" s="55" t="str">
        <f aca="false">IFERROR(VLOOKUP(B59,SectorMap!A:C,3,0),"Tech services")</f>
        <v>Tech services</v>
      </c>
      <c r="U59" s="56" t="s">
        <v>476</v>
      </c>
      <c r="V59" s="57" t="n">
        <v>230</v>
      </c>
    </row>
    <row r="60" customFormat="false" ht="18.75" hidden="false" customHeight="true" outlineLevel="0" collapsed="false">
      <c r="A60" s="58" t="n">
        <v>56</v>
      </c>
      <c r="B60" s="59" t="s">
        <v>181</v>
      </c>
      <c r="C60" s="60" t="s">
        <v>181</v>
      </c>
      <c r="D60" s="61" t="s">
        <v>474</v>
      </c>
      <c r="E60" s="62" t="n">
        <v>480</v>
      </c>
      <c r="F60" s="62" t="n">
        <v>485</v>
      </c>
      <c r="G60" s="61" t="s">
        <v>328</v>
      </c>
      <c r="H60" s="47" t="str">
        <f aca="false">IFERROR(googlefinance("NSE:POONAWALLA","price"),"–")</f>
        <v>–</v>
      </c>
      <c r="I60" s="63" t="n">
        <v>500</v>
      </c>
      <c r="J60" s="64" t="n">
        <v>550</v>
      </c>
      <c r="K60" s="64" t="n">
        <v>600</v>
      </c>
      <c r="L60" s="65" t="n">
        <v>462</v>
      </c>
      <c r="M60" s="66" t="s">
        <v>329</v>
      </c>
      <c r="N60" s="66" t="s">
        <v>340</v>
      </c>
      <c r="O60" s="52" t="s">
        <v>331</v>
      </c>
      <c r="P60" s="67" t="n">
        <v>-0.0375</v>
      </c>
      <c r="Q60" s="68" t="s">
        <v>332</v>
      </c>
      <c r="R60" s="61" t="n">
        <v>15</v>
      </c>
      <c r="S60" s="60" t="str">
        <f aca="false">IFERROR(VLOOKUP(B60,SectorMap!A:B,2,0),"NBFC")</f>
        <v>NBFC</v>
      </c>
      <c r="T60" s="69" t="str">
        <f aca="false">IFERROR(VLOOKUP(B60,SectorMap!A:C,3,0),"Consumer lending")</f>
        <v>Consumer lending</v>
      </c>
      <c r="U60" s="70" t="s">
        <v>476</v>
      </c>
      <c r="V60" s="71" t="n">
        <v>462</v>
      </c>
    </row>
    <row r="61" customFormat="false" ht="18.75" hidden="false" customHeight="true" outlineLevel="0" collapsed="false">
      <c r="A61" s="16" t="n">
        <v>57</v>
      </c>
      <c r="B61" s="43" t="s">
        <v>183</v>
      </c>
      <c r="C61" s="44" t="s">
        <v>477</v>
      </c>
      <c r="D61" s="45" t="s">
        <v>474</v>
      </c>
      <c r="E61" s="46" t="n">
        <v>1725</v>
      </c>
      <c r="F61" s="46" t="n">
        <v>1740</v>
      </c>
      <c r="G61" s="45" t="s">
        <v>328</v>
      </c>
      <c r="H61" s="47" t="str">
        <f aca="false">IFERROR(googlefinance("NSE:PIRAMALFIN","price"),"–")</f>
        <v>–</v>
      </c>
      <c r="I61" s="48" t="n">
        <v>1880</v>
      </c>
      <c r="J61" s="49" t="n">
        <v>1980</v>
      </c>
      <c r="K61" s="49" t="n">
        <v>2018</v>
      </c>
      <c r="L61" s="50" t="n">
        <v>1676</v>
      </c>
      <c r="M61" s="77" t="s">
        <v>351</v>
      </c>
      <c r="N61" s="77" t="s">
        <v>478</v>
      </c>
      <c r="O61" s="73" t="s">
        <v>346</v>
      </c>
      <c r="P61" s="78" t="n">
        <v>0.169855</v>
      </c>
      <c r="Q61" s="79" t="s">
        <v>353</v>
      </c>
      <c r="R61" s="45" t="n">
        <v>60</v>
      </c>
      <c r="S61" s="44" t="str">
        <f aca="false">IFERROR(VLOOKUP(B61,SectorMap!A:B,2,0),"NBFC")</f>
        <v>NBFC</v>
      </c>
      <c r="T61" s="55" t="str">
        <f aca="false">IFERROR(VLOOKUP(B61,SectorMap!A:C,3,0),"AIF growth")</f>
        <v>AIF growth</v>
      </c>
      <c r="U61" s="80" t="s">
        <v>479</v>
      </c>
      <c r="V61" s="49" t="n">
        <v>2018</v>
      </c>
    </row>
    <row r="62" customFormat="false" ht="18.75" hidden="false" customHeight="true" outlineLevel="0" collapsed="false">
      <c r="A62" s="58" t="n">
        <v>58</v>
      </c>
      <c r="B62" s="59" t="s">
        <v>171</v>
      </c>
      <c r="C62" s="60" t="s">
        <v>171</v>
      </c>
      <c r="D62" s="61" t="s">
        <v>456</v>
      </c>
      <c r="E62" s="62" t="n">
        <v>195</v>
      </c>
      <c r="F62" s="62" t="n">
        <v>197.5</v>
      </c>
      <c r="G62" s="61" t="s">
        <v>328</v>
      </c>
      <c r="H62" s="47" t="str">
        <f aca="false">IFERROR(googlefinance("NSE:SAMHI","price"),"–")</f>
        <v>–</v>
      </c>
      <c r="I62" s="63" t="n">
        <v>205</v>
      </c>
      <c r="J62" s="64" t="n">
        <v>210</v>
      </c>
      <c r="K62" s="64" t="n">
        <v>220</v>
      </c>
      <c r="L62" s="65" t="n">
        <v>187.5</v>
      </c>
      <c r="M62" s="66" t="s">
        <v>329</v>
      </c>
      <c r="N62" s="66" t="s">
        <v>340</v>
      </c>
      <c r="O62" s="52" t="s">
        <v>331</v>
      </c>
      <c r="P62" s="67" t="n">
        <v>-0.038462</v>
      </c>
      <c r="Q62" s="68" t="s">
        <v>332</v>
      </c>
      <c r="R62" s="61" t="n">
        <v>15</v>
      </c>
      <c r="S62" s="60" t="str">
        <f aca="false">IFERROR(VLOOKUP(B62,SectorMap!A:B,2,0),"Hospitality")</f>
        <v>Hospitality</v>
      </c>
      <c r="T62" s="69" t="str">
        <f aca="false">IFERROR(VLOOKUP(B62,SectorMap!A:C,3,0),"Hotel expansion")</f>
        <v>Hotel expansion</v>
      </c>
      <c r="U62" s="70" t="s">
        <v>480</v>
      </c>
      <c r="V62" s="71" t="n">
        <v>187.5</v>
      </c>
    </row>
    <row r="63" customFormat="false" ht="18.75" hidden="false" customHeight="true" outlineLevel="0" collapsed="false">
      <c r="A63" s="16" t="n">
        <v>59</v>
      </c>
      <c r="B63" s="43" t="s">
        <v>173</v>
      </c>
      <c r="C63" s="44" t="s">
        <v>173</v>
      </c>
      <c r="D63" s="45" t="s">
        <v>456</v>
      </c>
      <c r="E63" s="46" t="n">
        <v>645</v>
      </c>
      <c r="F63" s="46" t="n">
        <v>650</v>
      </c>
      <c r="G63" s="45" t="s">
        <v>328</v>
      </c>
      <c r="H63" s="47" t="str">
        <f aca="false">IFERROR(googlefinance("NSE:ARSSBL","price"),"–")</f>
        <v>–</v>
      </c>
      <c r="I63" s="48" t="n">
        <v>700</v>
      </c>
      <c r="J63" s="49" t="n">
        <v>740</v>
      </c>
      <c r="K63" s="49" t="n">
        <v>800</v>
      </c>
      <c r="L63" s="50" t="n">
        <v>625</v>
      </c>
      <c r="M63" s="51" t="s">
        <v>329</v>
      </c>
      <c r="N63" s="51" t="s">
        <v>481</v>
      </c>
      <c r="O63" s="52" t="s">
        <v>331</v>
      </c>
      <c r="P63" s="53" t="n">
        <v>-0.031008</v>
      </c>
      <c r="Q63" s="54" t="s">
        <v>332</v>
      </c>
      <c r="R63" s="45" t="n">
        <v>15</v>
      </c>
      <c r="S63" s="44" t="str">
        <f aca="false">IFERROR(VLOOKUP(B63,SectorMap!A:B,2,0),"Finance")</f>
        <v>Finance</v>
      </c>
      <c r="T63" s="55" t="str">
        <f aca="false">IFERROR(VLOOKUP(B63,SectorMap!A:C,3,0),"Value buy")</f>
        <v>Value buy</v>
      </c>
      <c r="U63" s="56" t="s">
        <v>480</v>
      </c>
      <c r="V63" s="57" t="n">
        <v>625</v>
      </c>
    </row>
    <row r="64" customFormat="false" ht="18.75" hidden="false" customHeight="true" outlineLevel="0" collapsed="false">
      <c r="A64" s="58" t="n">
        <v>60</v>
      </c>
      <c r="B64" s="59" t="s">
        <v>175</v>
      </c>
      <c r="C64" s="60" t="s">
        <v>482</v>
      </c>
      <c r="D64" s="61" t="s">
        <v>456</v>
      </c>
      <c r="E64" s="62" t="n">
        <v>640</v>
      </c>
      <c r="F64" s="62" t="n">
        <v>650</v>
      </c>
      <c r="G64" s="61" t="s">
        <v>328</v>
      </c>
      <c r="H64" s="47" t="str">
        <f aca="false">IFERROR(googlefinance("NSE:TATATECH","price"),"–")</f>
        <v>–</v>
      </c>
      <c r="I64" s="63" t="n">
        <v>700</v>
      </c>
      <c r="J64" s="64" t="n">
        <v>740</v>
      </c>
      <c r="K64" s="64" t="n">
        <v>800</v>
      </c>
      <c r="L64" s="65" t="n">
        <v>625</v>
      </c>
      <c r="M64" s="82" t="str">
        <f aca="false">IF(OR(H64="",H64="–"),"–",IFERROR(IF(H64&lt;L64,"🔴 SL Hit",IF(AND(ISNUMBER(K64),H64&gt;=K64),"🎯 T3 Hit — Book!",IF(AND(ISNUMBER(J64),H64&gt;=J64),"🎯 T2 Hit — Book!",IF(AND(ISNUMBER(I64),H64&gt;=I64),"🎯 T1 Hit — Book!",IF(AND(H64&gt;=E64),"🟡 In/Above Buy Zone","🔻 Below Buy Zone"))))),"-"))</f>
        <v>–</v>
      </c>
      <c r="N64" s="83" t="str">
        <f aca="false">IF(M64="🎯 T3 Hit — Book!","🏆 BOOK T3 PROFITS!",IF(M64="🎯 T2 Hit — Book!","🎯 BOOK T2 PROFITS!",IF(M64="🎯 T1 Hit — Book!","📈 BOOK T1 PROFITS!",IF(M64="🔴 SL Hit","⚠️ EXIT NOW!",IF(M64="🟡 In/Above Buy Zone","🔔 BUY NOW!","⏳ Wait")))))</f>
        <v>⏳ Wait</v>
      </c>
      <c r="O64" s="84" t="s">
        <v>362</v>
      </c>
      <c r="P64" s="85" t="str">
        <f aca="false">IF(OR(ISBLANK(H64),H64="–",NOT(ISNUMBER(H64)),E64=0),"–",(H64-E64)/E64)</f>
        <v>–</v>
      </c>
      <c r="Q64" s="86" t="s">
        <v>362</v>
      </c>
      <c r="R64" s="61" t="n">
        <v>141</v>
      </c>
      <c r="S64" s="60" t="str">
        <f aca="false">IFERROR(VLOOKUP(B64,SectorMap!A:B,2,0),"IT")</f>
        <v>IT</v>
      </c>
      <c r="T64" s="69" t="str">
        <f aca="false">IFERROR(VLOOKUP(B64,SectorMap!A:C,3,0),"PLM demand")</f>
        <v>PLM demand</v>
      </c>
      <c r="U64" s="61" t="s">
        <v>363</v>
      </c>
      <c r="V64" s="87" t="s">
        <v>361</v>
      </c>
    </row>
    <row r="65" customFormat="false" ht="18.75" hidden="false" customHeight="true" outlineLevel="0" collapsed="false">
      <c r="A65" s="16" t="n">
        <v>61</v>
      </c>
      <c r="B65" s="43" t="s">
        <v>115</v>
      </c>
      <c r="C65" s="44" t="s">
        <v>483</v>
      </c>
      <c r="D65" s="45" t="s">
        <v>462</v>
      </c>
      <c r="E65" s="46" t="n">
        <v>185</v>
      </c>
      <c r="F65" s="46" t="n">
        <v>186</v>
      </c>
      <c r="G65" s="45" t="s">
        <v>328</v>
      </c>
      <c r="H65" s="47" t="str">
        <f aca="false">IFERROR(googlefinance("NSE:TATASTEEL","price"),"–")</f>
        <v>–</v>
      </c>
      <c r="I65" s="48" t="n">
        <v>200</v>
      </c>
      <c r="J65" s="49" t="n">
        <v>225</v>
      </c>
      <c r="K65" s="49" t="n">
        <v>240</v>
      </c>
      <c r="L65" s="50" t="n">
        <v>175</v>
      </c>
      <c r="M65" s="77" t="s">
        <v>344</v>
      </c>
      <c r="N65" s="77" t="s">
        <v>484</v>
      </c>
      <c r="O65" s="73" t="s">
        <v>346</v>
      </c>
      <c r="P65" s="78" t="n">
        <v>0.081081</v>
      </c>
      <c r="Q65" s="79" t="s">
        <v>347</v>
      </c>
      <c r="R65" s="45" t="n">
        <v>30</v>
      </c>
      <c r="S65" s="44" t="str">
        <f aca="false">IFERROR(VLOOKUP(B65,SectorMap!A:B,2,0),"Metals")</f>
        <v>Metals</v>
      </c>
      <c r="T65" s="55" t="str">
        <f aca="false">IFERROR(VLOOKUP(B65,SectorMap!A:C,3,0),"EU turnaround")</f>
        <v>EU turnaround</v>
      </c>
      <c r="U65" s="80" t="s">
        <v>485</v>
      </c>
      <c r="V65" s="49" t="n">
        <v>200</v>
      </c>
    </row>
    <row r="66" customFormat="false" ht="18.75" hidden="false" customHeight="true" outlineLevel="0" collapsed="false">
      <c r="A66" s="58" t="n">
        <v>62</v>
      </c>
      <c r="B66" s="59" t="s">
        <v>170</v>
      </c>
      <c r="C66" s="60" t="s">
        <v>170</v>
      </c>
      <c r="D66" s="61" t="s">
        <v>462</v>
      </c>
      <c r="E66" s="62" t="n">
        <v>3800</v>
      </c>
      <c r="F66" s="62" t="n">
        <v>3850</v>
      </c>
      <c r="G66" s="61" t="s">
        <v>328</v>
      </c>
      <c r="H66" s="47" t="str">
        <f aca="false">IFERROR(googlefinance("NSE:DMART","price"),"–")</f>
        <v>–</v>
      </c>
      <c r="I66" s="63" t="n">
        <v>4000</v>
      </c>
      <c r="J66" s="64" t="n">
        <v>4250</v>
      </c>
      <c r="K66" s="64" t="n">
        <v>4500</v>
      </c>
      <c r="L66" s="65" t="n">
        <v>3700</v>
      </c>
      <c r="M66" s="72" t="s">
        <v>375</v>
      </c>
      <c r="N66" s="72" t="s">
        <v>486</v>
      </c>
      <c r="O66" s="73" t="s">
        <v>346</v>
      </c>
      <c r="P66" s="74" t="n">
        <v>0.118421</v>
      </c>
      <c r="Q66" s="75" t="s">
        <v>377</v>
      </c>
      <c r="R66" s="61" t="n">
        <v>45</v>
      </c>
      <c r="S66" s="60" t="str">
        <f aca="false">IFERROR(VLOOKUP(B66,SectorMap!A:B,2,0),"Retail")</f>
        <v>Retail</v>
      </c>
      <c r="T66" s="69" t="str">
        <f aca="false">IFERROR(VLOOKUP(B66,SectorMap!A:C,3,0),"Volume recovery")</f>
        <v>Volume recovery</v>
      </c>
      <c r="U66" s="76" t="s">
        <v>487</v>
      </c>
      <c r="V66" s="64" t="n">
        <v>4250</v>
      </c>
    </row>
    <row r="67" customFormat="false" ht="18.75" hidden="false" customHeight="true" outlineLevel="0" collapsed="false">
      <c r="A67" s="16" t="n">
        <v>63</v>
      </c>
      <c r="B67" s="43" t="s">
        <v>117</v>
      </c>
      <c r="C67" s="44" t="s">
        <v>488</v>
      </c>
      <c r="D67" s="45" t="s">
        <v>462</v>
      </c>
      <c r="E67" s="46" t="n">
        <v>9600</v>
      </c>
      <c r="F67" s="46" t="n">
        <v>9605</v>
      </c>
      <c r="G67" s="45" t="s">
        <v>328</v>
      </c>
      <c r="H67" s="47" t="str">
        <f aca="false">IFERROR(googlefinance("NSE:BAJAJ-AUTO","price"),"–")</f>
        <v>–</v>
      </c>
      <c r="I67" s="48" t="n">
        <v>10000</v>
      </c>
      <c r="J67" s="49" t="n">
        <v>10500</v>
      </c>
      <c r="K67" s="49" t="n">
        <v>11000</v>
      </c>
      <c r="L67" s="50" t="n">
        <v>9500</v>
      </c>
      <c r="M67" s="77" t="s">
        <v>375</v>
      </c>
      <c r="N67" s="77" t="s">
        <v>489</v>
      </c>
      <c r="O67" s="73" t="s">
        <v>346</v>
      </c>
      <c r="P67" s="78" t="n">
        <v>0.09375</v>
      </c>
      <c r="Q67" s="79" t="s">
        <v>377</v>
      </c>
      <c r="R67" s="45" t="n">
        <v>45</v>
      </c>
      <c r="S67" s="44" t="str">
        <f aca="false">IFERROR(VLOOKUP(B67,SectorMap!A:B,2,0),"Auto")</f>
        <v>Auto</v>
      </c>
      <c r="T67" s="55" t="str">
        <f aca="false">IFERROR(VLOOKUP(B67,SectorMap!A:C,3,0),"Strong volumes")</f>
        <v>Strong volumes</v>
      </c>
      <c r="U67" s="80" t="s">
        <v>487</v>
      </c>
      <c r="V67" s="49" t="n">
        <v>10500</v>
      </c>
    </row>
    <row r="68" customFormat="false" ht="18.75" hidden="false" customHeight="true" outlineLevel="0" collapsed="false">
      <c r="A68" s="58" t="n">
        <v>64</v>
      </c>
      <c r="B68" s="59" t="s">
        <v>139</v>
      </c>
      <c r="C68" s="60" t="s">
        <v>490</v>
      </c>
      <c r="D68" s="61" t="s">
        <v>464</v>
      </c>
      <c r="E68" s="62" t="n">
        <v>2700</v>
      </c>
      <c r="F68" s="62" t="n">
        <v>2735</v>
      </c>
      <c r="G68" s="61" t="s">
        <v>328</v>
      </c>
      <c r="H68" s="47" t="str">
        <f aca="false">IFERROR(googlefinance("NSE:ICICIAMC","price"),"–")</f>
        <v>–</v>
      </c>
      <c r="I68" s="63" t="n">
        <v>3200</v>
      </c>
      <c r="J68" s="64" t="n">
        <v>3400</v>
      </c>
      <c r="K68" s="64" t="n">
        <v>3600</v>
      </c>
      <c r="L68" s="65" t="n">
        <v>2850</v>
      </c>
      <c r="M68" s="72" t="s">
        <v>351</v>
      </c>
      <c r="N68" s="72" t="s">
        <v>491</v>
      </c>
      <c r="O68" s="73" t="s">
        <v>346</v>
      </c>
      <c r="P68" s="74" t="n">
        <v>0.333333</v>
      </c>
      <c r="Q68" s="75" t="s">
        <v>353</v>
      </c>
      <c r="R68" s="61" t="n">
        <v>60</v>
      </c>
      <c r="S68" s="60" t="str">
        <f aca="false">IFERROR(VLOOKUP(B68,SectorMap!A:B,2,0),"AMC")</f>
        <v>AMC</v>
      </c>
      <c r="T68" s="69" t="str">
        <f aca="false">IFERROR(VLOOKUP(B68,SectorMap!A:C,3,0),"Equity inflows")</f>
        <v>Equity inflows</v>
      </c>
      <c r="U68" s="76" t="s">
        <v>492</v>
      </c>
      <c r="V68" s="64" t="n">
        <v>3600</v>
      </c>
    </row>
    <row r="69" customFormat="false" ht="18.75" hidden="false" customHeight="true" outlineLevel="0" collapsed="false">
      <c r="A69" s="16" t="n">
        <v>65</v>
      </c>
      <c r="B69" s="43" t="s">
        <v>153</v>
      </c>
      <c r="C69" s="44" t="s">
        <v>493</v>
      </c>
      <c r="D69" s="45" t="s">
        <v>464</v>
      </c>
      <c r="E69" s="46" t="n">
        <v>7250</v>
      </c>
      <c r="F69" s="46" t="n">
        <v>7350</v>
      </c>
      <c r="G69" s="45" t="s">
        <v>328</v>
      </c>
      <c r="H69" s="47" t="str">
        <f aca="false">IFERROR(googlefinance("NSE:POLYCAB","price"),"–")</f>
        <v>–</v>
      </c>
      <c r="I69" s="48" t="n">
        <v>7450</v>
      </c>
      <c r="J69" s="49" t="n">
        <v>7550</v>
      </c>
      <c r="K69" s="49" t="n">
        <v>7700</v>
      </c>
      <c r="L69" s="50" t="n">
        <v>7000</v>
      </c>
      <c r="M69" s="77" t="s">
        <v>351</v>
      </c>
      <c r="N69" s="77" t="s">
        <v>494</v>
      </c>
      <c r="O69" s="73" t="s">
        <v>346</v>
      </c>
      <c r="P69" s="78" t="n">
        <v>0.062069</v>
      </c>
      <c r="Q69" s="79" t="s">
        <v>353</v>
      </c>
      <c r="R69" s="45" t="n">
        <v>60</v>
      </c>
      <c r="S69" s="44" t="str">
        <f aca="false">IFERROR(VLOOKUP(B69,SectorMap!A:B,2,0),"Industrials")</f>
        <v>Industrials</v>
      </c>
      <c r="T69" s="55" t="str">
        <f aca="false">IFERROR(VLOOKUP(B69,SectorMap!A:C,3,0),"Wiring demand")</f>
        <v>Wiring demand</v>
      </c>
      <c r="U69" s="80" t="s">
        <v>492</v>
      </c>
      <c r="V69" s="49" t="n">
        <v>7700</v>
      </c>
    </row>
    <row r="70" customFormat="false" ht="18.75" hidden="false" customHeight="true" outlineLevel="0" collapsed="false">
      <c r="A70" s="58" t="n">
        <v>66</v>
      </c>
      <c r="B70" s="59" t="s">
        <v>155</v>
      </c>
      <c r="C70" s="60" t="s">
        <v>495</v>
      </c>
      <c r="D70" s="61" t="s">
        <v>464</v>
      </c>
      <c r="E70" s="62" t="n">
        <v>50</v>
      </c>
      <c r="F70" s="62" t="n">
        <v>52</v>
      </c>
      <c r="G70" s="61" t="s">
        <v>328</v>
      </c>
      <c r="H70" s="47" t="str">
        <f aca="false">IFERROR(googlefinance("NSE:IFCI","price"),"–")</f>
        <v>–</v>
      </c>
      <c r="I70" s="63" t="n">
        <v>55</v>
      </c>
      <c r="J70" s="64" t="n">
        <v>64.39</v>
      </c>
      <c r="K70" s="64" t="n">
        <v>75</v>
      </c>
      <c r="L70" s="65" t="n">
        <v>45</v>
      </c>
      <c r="M70" s="72" t="s">
        <v>375</v>
      </c>
      <c r="N70" s="72" t="s">
        <v>496</v>
      </c>
      <c r="O70" s="73" t="s">
        <v>346</v>
      </c>
      <c r="P70" s="74" t="n">
        <v>0.2878</v>
      </c>
      <c r="Q70" s="75" t="s">
        <v>377</v>
      </c>
      <c r="R70" s="61" t="n">
        <v>45</v>
      </c>
      <c r="S70" s="60" t="str">
        <f aca="false">IFERROR(VLOOKUP(B70,SectorMap!A:B,2,0),"Finance")</f>
        <v>Finance</v>
      </c>
      <c r="T70" s="69" t="str">
        <f aca="false">IFERROR(VLOOKUP(B70,SectorMap!A:C,3,0),"PSU NBFC recovery")</f>
        <v>PSU NBFC recovery</v>
      </c>
      <c r="U70" s="76" t="s">
        <v>497</v>
      </c>
      <c r="V70" s="64" t="n">
        <v>64.39</v>
      </c>
    </row>
    <row r="71" customFormat="false" ht="18.75" hidden="false" customHeight="true" outlineLevel="0" collapsed="false">
      <c r="A71" s="16" t="n">
        <v>67</v>
      </c>
      <c r="B71" s="43" t="s">
        <v>157</v>
      </c>
      <c r="C71" s="44" t="s">
        <v>157</v>
      </c>
      <c r="D71" s="45" t="s">
        <v>464</v>
      </c>
      <c r="E71" s="46" t="n">
        <v>1460</v>
      </c>
      <c r="F71" s="46" t="n">
        <v>1470</v>
      </c>
      <c r="G71" s="45" t="s">
        <v>328</v>
      </c>
      <c r="H71" s="47" t="str">
        <f aca="false">IFERROR(googlefinance("NSE:CORONA","price"),"–")</f>
        <v>–</v>
      </c>
      <c r="I71" s="48" t="n">
        <v>1550</v>
      </c>
      <c r="J71" s="49" t="n">
        <v>1650</v>
      </c>
      <c r="K71" s="49" t="n">
        <v>1790</v>
      </c>
      <c r="L71" s="50" t="n">
        <v>1400</v>
      </c>
      <c r="M71" s="77" t="s">
        <v>351</v>
      </c>
      <c r="N71" s="77" t="s">
        <v>498</v>
      </c>
      <c r="O71" s="73" t="s">
        <v>346</v>
      </c>
      <c r="P71" s="78" t="n">
        <v>0.226027</v>
      </c>
      <c r="Q71" s="79" t="s">
        <v>353</v>
      </c>
      <c r="R71" s="45" t="n">
        <v>60</v>
      </c>
      <c r="S71" s="44" t="str">
        <f aca="false">IFERROR(VLOOKUP(B71,SectorMap!A:B,2,0),"Consumer")</f>
        <v>Consumer</v>
      </c>
      <c r="T71" s="55" t="str">
        <f aca="false">IFERROR(VLOOKUP(B71,SectorMap!A:C,3,0),"Domestic demand")</f>
        <v>Domestic demand</v>
      </c>
      <c r="U71" s="80" t="s">
        <v>492</v>
      </c>
      <c r="V71" s="49" t="n">
        <v>1790</v>
      </c>
    </row>
    <row r="72" customFormat="false" ht="18.75" hidden="false" customHeight="true" outlineLevel="0" collapsed="false">
      <c r="A72" s="58" t="n">
        <v>68</v>
      </c>
      <c r="B72" s="59" t="s">
        <v>158</v>
      </c>
      <c r="C72" s="60" t="s">
        <v>499</v>
      </c>
      <c r="D72" s="61" t="s">
        <v>464</v>
      </c>
      <c r="E72" s="62" t="n">
        <v>1975</v>
      </c>
      <c r="F72" s="62" t="n">
        <v>2000</v>
      </c>
      <c r="G72" s="61" t="s">
        <v>328</v>
      </c>
      <c r="H72" s="47" t="str">
        <f aca="false">IFERROR(googlefinance("NSE:DALBHARAT","price"),"–")</f>
        <v>–</v>
      </c>
      <c r="I72" s="63" t="n">
        <v>2200</v>
      </c>
      <c r="J72" s="64" t="n">
        <v>2400</v>
      </c>
      <c r="K72" s="64" t="n">
        <v>2600</v>
      </c>
      <c r="L72" s="65" t="n">
        <v>1850</v>
      </c>
      <c r="M72" s="66" t="s">
        <v>329</v>
      </c>
      <c r="N72" s="66" t="s">
        <v>500</v>
      </c>
      <c r="O72" s="52" t="s">
        <v>331</v>
      </c>
      <c r="P72" s="67" t="n">
        <v>-0.063291</v>
      </c>
      <c r="Q72" s="68" t="s">
        <v>332</v>
      </c>
      <c r="R72" s="61" t="n">
        <v>15</v>
      </c>
      <c r="S72" s="60" t="str">
        <f aca="false">IFERROR(VLOOKUP(B72,SectorMap!A:B,2,0),"Cement")</f>
        <v>Cement</v>
      </c>
      <c r="T72" s="69" t="str">
        <f aca="false">IFERROR(VLOOKUP(B72,SectorMap!A:C,3,0),"Infra cycle")</f>
        <v>Infra cycle</v>
      </c>
      <c r="U72" s="70" t="s">
        <v>501</v>
      </c>
      <c r="V72" s="71" t="n">
        <v>1850</v>
      </c>
    </row>
    <row r="73" customFormat="false" ht="18.75" hidden="false" customHeight="true" outlineLevel="0" collapsed="false">
      <c r="A73" s="16" t="n">
        <v>69</v>
      </c>
      <c r="B73" s="43" t="s">
        <v>161</v>
      </c>
      <c r="C73" s="44" t="s">
        <v>502</v>
      </c>
      <c r="D73" s="45" t="s">
        <v>464</v>
      </c>
      <c r="E73" s="46" t="n">
        <v>475</v>
      </c>
      <c r="F73" s="46" t="n">
        <v>480</v>
      </c>
      <c r="G73" s="45" t="s">
        <v>328</v>
      </c>
      <c r="H73" s="47" t="str">
        <f aca="false">IFERROR(googlefinance("NSE:APOLLOTYRE","price"),"–")</f>
        <v>–</v>
      </c>
      <c r="I73" s="48" t="n">
        <v>500</v>
      </c>
      <c r="J73" s="49" t="n">
        <v>525</v>
      </c>
      <c r="K73" s="49" t="n">
        <v>550</v>
      </c>
      <c r="L73" s="50" t="n">
        <v>450</v>
      </c>
      <c r="M73" s="51" t="s">
        <v>329</v>
      </c>
      <c r="N73" s="51" t="s">
        <v>455</v>
      </c>
      <c r="O73" s="52" t="s">
        <v>331</v>
      </c>
      <c r="P73" s="53" t="n">
        <v>-0.052632</v>
      </c>
      <c r="Q73" s="54" t="s">
        <v>332</v>
      </c>
      <c r="R73" s="45" t="n">
        <v>15</v>
      </c>
      <c r="S73" s="44" t="str">
        <f aca="false">IFERROR(VLOOKUP(B73,SectorMap!A:B,2,0),"Auto")</f>
        <v>Auto</v>
      </c>
      <c r="T73" s="55" t="str">
        <f aca="false">IFERROR(VLOOKUP(B73,SectorMap!A:C,3,0),"Volume recovery")</f>
        <v>Volume recovery</v>
      </c>
      <c r="U73" s="56" t="s">
        <v>501</v>
      </c>
      <c r="V73" s="57" t="n">
        <v>450</v>
      </c>
    </row>
    <row r="74" customFormat="false" ht="18.75" hidden="false" customHeight="true" outlineLevel="0" collapsed="false">
      <c r="A74" s="58" t="n">
        <v>70</v>
      </c>
      <c r="B74" s="59" t="s">
        <v>163</v>
      </c>
      <c r="C74" s="60" t="s">
        <v>163</v>
      </c>
      <c r="D74" s="61" t="s">
        <v>464</v>
      </c>
      <c r="E74" s="62" t="n">
        <v>360</v>
      </c>
      <c r="F74" s="62" t="n">
        <v>370</v>
      </c>
      <c r="G74" s="61" t="s">
        <v>328</v>
      </c>
      <c r="H74" s="47" t="str">
        <f aca="false">IFERROR(googlefinance("NSE:BIOCON","price"),"–")</f>
        <v>–</v>
      </c>
      <c r="I74" s="63" t="n">
        <v>380</v>
      </c>
      <c r="J74" s="64" t="n">
        <v>395</v>
      </c>
      <c r="K74" s="64" t="n">
        <v>420</v>
      </c>
      <c r="L74" s="65" t="n">
        <v>325</v>
      </c>
      <c r="M74" s="82" t="str">
        <f aca="false">IF(OR(H74="",H74="–"),"–",IFERROR(IF(H74&lt;L74,"🔴 SL Hit",IF(AND(ISNUMBER(K74),H74&gt;=K74),"🎯 T3 Hit — Book!",IF(AND(ISNUMBER(J74),H74&gt;=J74),"🎯 T2 Hit — Book!",IF(AND(ISNUMBER(I74),H74&gt;=I74),"🎯 T1 Hit — Book!",IF(AND(H74&gt;=E74),"🟡 In/Above Buy Zone","🔻 Below Buy Zone"))))),"-"))</f>
        <v>–</v>
      </c>
      <c r="N74" s="83" t="str">
        <f aca="false">IF(M74="🎯 T3 Hit — Book!","🏆 BOOK T3 PROFITS!",IF(M74="🎯 T2 Hit — Book!","🎯 BOOK T2 PROFITS!",IF(M74="🎯 T1 Hit — Book!","📈 BOOK T1 PROFITS!",IF(M74="🔴 SL Hit","⚠️ EXIT NOW!",IF(M74="🟡 In/Above Buy Zone","🔔 BUY NOW!","⏳ Wait")))))</f>
        <v>⏳ Wait</v>
      </c>
      <c r="O74" s="84" t="s">
        <v>362</v>
      </c>
      <c r="P74" s="85" t="str">
        <f aca="false">IF(OR(ISBLANK(H74),H74="–",NOT(ISNUMBER(H74)),E74=0),"–",(H74-E74)/E74)</f>
        <v>–</v>
      </c>
      <c r="Q74" s="86" t="s">
        <v>362</v>
      </c>
      <c r="R74" s="61" t="n">
        <v>132</v>
      </c>
      <c r="S74" s="60" t="str">
        <f aca="false">IFERROR(VLOOKUP(B74,SectorMap!A:B,2,0),"Pharma")</f>
        <v>Pharma</v>
      </c>
      <c r="T74" s="69" t="str">
        <f aca="false">IFERROR(VLOOKUP(B74,SectorMap!A:C,3,0),"Biosimilar ramp")</f>
        <v>Biosimilar ramp</v>
      </c>
      <c r="U74" s="61" t="s">
        <v>363</v>
      </c>
      <c r="V74" s="87" t="s">
        <v>361</v>
      </c>
    </row>
    <row r="75" customFormat="false" ht="18.75" hidden="false" customHeight="true" outlineLevel="0" collapsed="false">
      <c r="A75" s="16" t="n">
        <v>71</v>
      </c>
      <c r="B75" s="43" t="s">
        <v>165</v>
      </c>
      <c r="C75" s="44" t="s">
        <v>503</v>
      </c>
      <c r="D75" s="45" t="s">
        <v>464</v>
      </c>
      <c r="E75" s="46" t="n">
        <v>645</v>
      </c>
      <c r="F75" s="46" t="n">
        <v>650</v>
      </c>
      <c r="G75" s="45" t="s">
        <v>328</v>
      </c>
      <c r="H75" s="47" t="str">
        <f aca="false">IFERROR(googlefinance("NSE:INDHOTEL","price"),"–")</f>
        <v>–</v>
      </c>
      <c r="I75" s="48" t="n">
        <v>675</v>
      </c>
      <c r="J75" s="49" t="n">
        <v>725</v>
      </c>
      <c r="K75" s="91" t="s">
        <v>361</v>
      </c>
      <c r="L75" s="50" t="n">
        <v>600</v>
      </c>
      <c r="M75" s="28" t="str">
        <f aca="false">IF(OR(H75="",H75="–"),"–",IFERROR(IF(H75&lt;L75,"🔴 SL Hit",IF(AND(ISNUMBER(K75),H75&gt;=K75),"🎯 T3 Hit — Book!",IF(AND(ISNUMBER(J75),H75&gt;=J75),"🎯 T2 Hit — Book!",IF(AND(ISNUMBER(I75),H75&gt;=I75),"🎯 T1 Hit — Book!",IF(AND(H75&gt;=E75),"🟡 In/Above Buy Zone","🔻 Below Buy Zone"))))),"-"))</f>
        <v>–</v>
      </c>
      <c r="N75" s="88" t="str">
        <f aca="false">IF(M75="🎯 T3 Hit — Book!","🏆 BOOK T3 PROFITS!",IF(M75="🎯 T2 Hit — Book!","🎯 BOOK T2 PROFITS!",IF(M75="🎯 T1 Hit — Book!","📈 BOOK T1 PROFITS!",IF(M75="🔴 SL Hit","⚠️ EXIT NOW!",IF(M75="🟡 In/Above Buy Zone","🔔 BUY NOW!","⏳ Wait")))))</f>
        <v>⏳ Wait</v>
      </c>
      <c r="O75" s="84" t="s">
        <v>362</v>
      </c>
      <c r="P75" s="89" t="str">
        <f aca="false">IF(OR(ISBLANK(H75),H75="–",NOT(ISNUMBER(H75)),E75=0),"–",(H75-E75)/E75)</f>
        <v>–</v>
      </c>
      <c r="Q75" s="90" t="s">
        <v>362</v>
      </c>
      <c r="R75" s="45" t="n">
        <v>132</v>
      </c>
      <c r="S75" s="44" t="str">
        <f aca="false">IFERROR(VLOOKUP(B75,SectorMap!A:B,2,0),"Hospitality")</f>
        <v>Hospitality</v>
      </c>
      <c r="T75" s="55" t="str">
        <f aca="false">IFERROR(VLOOKUP(B75,SectorMap!A:C,3,0),"Tourism boom")</f>
        <v>Tourism boom</v>
      </c>
      <c r="U75" s="45" t="s">
        <v>363</v>
      </c>
      <c r="V75" s="35" t="s">
        <v>361</v>
      </c>
    </row>
    <row r="76" customFormat="false" ht="18.75" hidden="false" customHeight="true" outlineLevel="0" collapsed="false">
      <c r="A76" s="58" t="n">
        <v>72</v>
      </c>
      <c r="B76" s="59" t="s">
        <v>168</v>
      </c>
      <c r="C76" s="60" t="s">
        <v>504</v>
      </c>
      <c r="D76" s="61" t="s">
        <v>464</v>
      </c>
      <c r="E76" s="62" t="n">
        <v>155</v>
      </c>
      <c r="F76" s="62" t="n">
        <v>160</v>
      </c>
      <c r="G76" s="61" t="s">
        <v>328</v>
      </c>
      <c r="H76" s="47" t="str">
        <f aca="false">IFERROR(googlefinance("NSE:UNIONBANK","price"),"–")</f>
        <v>–</v>
      </c>
      <c r="I76" s="63" t="n">
        <v>165</v>
      </c>
      <c r="J76" s="64" t="n">
        <v>180</v>
      </c>
      <c r="K76" s="64" t="n">
        <v>200</v>
      </c>
      <c r="L76" s="65" t="n">
        <v>145</v>
      </c>
      <c r="M76" s="72" t="s">
        <v>351</v>
      </c>
      <c r="N76" s="72" t="s">
        <v>505</v>
      </c>
      <c r="O76" s="73" t="s">
        <v>346</v>
      </c>
      <c r="P76" s="74" t="n">
        <v>0.290323</v>
      </c>
      <c r="Q76" s="75" t="s">
        <v>353</v>
      </c>
      <c r="R76" s="61" t="n">
        <v>60</v>
      </c>
      <c r="S76" s="60" t="str">
        <f aca="false">IFERROR(VLOOKUP(B76,SectorMap!A:B,2,0),"Banking")</f>
        <v>Banking</v>
      </c>
      <c r="T76" s="69" t="str">
        <f aca="false">IFERROR(VLOOKUP(B76,SectorMap!A:C,3,0),"PSU bank rally")</f>
        <v>PSU bank rally</v>
      </c>
      <c r="U76" s="76" t="s">
        <v>492</v>
      </c>
      <c r="V76" s="64" t="n">
        <v>200</v>
      </c>
    </row>
    <row r="77" customFormat="false" ht="18.75" hidden="false" customHeight="true" outlineLevel="0" collapsed="false">
      <c r="A77" s="16" t="n">
        <v>73</v>
      </c>
      <c r="B77" s="43" t="s">
        <v>115</v>
      </c>
      <c r="C77" s="44" t="s">
        <v>483</v>
      </c>
      <c r="D77" s="45" t="s">
        <v>472</v>
      </c>
      <c r="E77" s="46" t="n">
        <v>205</v>
      </c>
      <c r="F77" s="46" t="n">
        <v>207</v>
      </c>
      <c r="G77" s="45" t="s">
        <v>328</v>
      </c>
      <c r="H77" s="47" t="str">
        <f aca="false">IFERROR(googlefinance("NSE:TATASTEEL","price"),"–")</f>
        <v>–</v>
      </c>
      <c r="I77" s="48" t="n">
        <v>212</v>
      </c>
      <c r="J77" s="49" t="n">
        <v>220</v>
      </c>
      <c r="K77" s="91" t="s">
        <v>361</v>
      </c>
      <c r="L77" s="50" t="n">
        <v>200</v>
      </c>
      <c r="M77" s="77" t="s">
        <v>344</v>
      </c>
      <c r="N77" s="77" t="s">
        <v>506</v>
      </c>
      <c r="O77" s="73" t="s">
        <v>346</v>
      </c>
      <c r="P77" s="78" t="n">
        <v>0.034146</v>
      </c>
      <c r="Q77" s="79" t="s">
        <v>347</v>
      </c>
      <c r="R77" s="45" t="n">
        <v>30</v>
      </c>
      <c r="S77" s="44" t="str">
        <f aca="false">IFERROR(VLOOKUP(B77,SectorMap!A:B,2,0),"Metals")</f>
        <v>Metals</v>
      </c>
      <c r="T77" s="55" t="str">
        <f aca="false">IFERROR(VLOOKUP(B77,SectorMap!A:C,3,0),"EU turnaround")</f>
        <v>EU turnaround</v>
      </c>
      <c r="U77" s="80" t="s">
        <v>507</v>
      </c>
      <c r="V77" s="49" t="n">
        <v>212</v>
      </c>
    </row>
    <row r="78" customFormat="false" ht="18.75" hidden="false" customHeight="true" outlineLevel="0" collapsed="false">
      <c r="A78" s="58" t="n">
        <v>74</v>
      </c>
      <c r="B78" s="59" t="s">
        <v>110</v>
      </c>
      <c r="C78" s="60" t="s">
        <v>508</v>
      </c>
      <c r="D78" s="61" t="s">
        <v>509</v>
      </c>
      <c r="E78" s="62" t="n">
        <v>2150</v>
      </c>
      <c r="F78" s="62" t="n">
        <v>2175</v>
      </c>
      <c r="G78" s="61" t="s">
        <v>328</v>
      </c>
      <c r="H78" s="47" t="str">
        <f aca="false">IFERROR(googlefinance("NSE:COLPAL","price"),"–")</f>
        <v>–</v>
      </c>
      <c r="I78" s="63" t="n">
        <v>2200</v>
      </c>
      <c r="J78" s="64" t="n">
        <v>2300</v>
      </c>
      <c r="K78" s="64" t="n">
        <v>2400</v>
      </c>
      <c r="L78" s="65" t="n">
        <v>2025</v>
      </c>
      <c r="M78" s="82" t="str">
        <f aca="false">IF(OR(H78="",H78="–"),"–",IFERROR(IF(H78&lt;L78,"🔴 SL Hit",IF(AND(ISNUMBER(K78),H78&gt;=K78),"🎯 T3 Hit — Book!",IF(AND(ISNUMBER(J78),H78&gt;=J78),"🎯 T2 Hit — Book!",IF(AND(ISNUMBER(I78),H78&gt;=I78),"🎯 T1 Hit — Book!",IF(AND(H78&gt;=E78),"🟡 In/Above Buy Zone","🔻 Below Buy Zone"))))),"-"))</f>
        <v>–</v>
      </c>
      <c r="N78" s="83" t="str">
        <f aca="false">IF(M78="🎯 T3 Hit — Book!","🏆 BOOK T3 PROFITS!",IF(M78="🎯 T2 Hit — Book!","🎯 BOOK T2 PROFITS!",IF(M78="🎯 T1 Hit — Book!","📈 BOOK T1 PROFITS!",IF(M78="🔴 SL Hit","⚠️ EXIT NOW!",IF(M78="🟡 In/Above Buy Zone","🔔 BUY NOW!","⏳ Wait")))))</f>
        <v>⏳ Wait</v>
      </c>
      <c r="O78" s="84" t="s">
        <v>362</v>
      </c>
      <c r="P78" s="85" t="str">
        <f aca="false">IF(OR(ISBLANK(H78),H78="–",NOT(ISNUMBER(H78)),E78=0),"–",(H78-E78)/E78)</f>
        <v>–</v>
      </c>
      <c r="Q78" s="86" t="s">
        <v>362</v>
      </c>
      <c r="R78" s="61" t="n">
        <v>123</v>
      </c>
      <c r="S78" s="60" t="str">
        <f aca="false">IFERROR(VLOOKUP(B78,SectorMap!A:B,2,0),"FMCG")</f>
        <v>FMCG</v>
      </c>
      <c r="T78" s="69" t="str">
        <f aca="false">IFERROR(VLOOKUP(B78,SectorMap!A:C,3,0),"Premium mix")</f>
        <v>Premium mix</v>
      </c>
      <c r="U78" s="61" t="s">
        <v>363</v>
      </c>
      <c r="V78" s="87" t="s">
        <v>361</v>
      </c>
    </row>
    <row r="79" customFormat="false" ht="18.75" hidden="false" customHeight="true" outlineLevel="0" collapsed="false">
      <c r="A79" s="16" t="n">
        <v>75</v>
      </c>
      <c r="B79" s="43" t="s">
        <v>113</v>
      </c>
      <c r="C79" s="44" t="s">
        <v>510</v>
      </c>
      <c r="D79" s="45" t="s">
        <v>509</v>
      </c>
      <c r="E79" s="46" t="n">
        <v>168</v>
      </c>
      <c r="F79" s="46" t="n">
        <v>172</v>
      </c>
      <c r="G79" s="45" t="s">
        <v>328</v>
      </c>
      <c r="H79" s="47" t="str">
        <f aca="false">IFERROR(googlefinance("NSE:BANKINDIA","price"),"–")</f>
        <v>–</v>
      </c>
      <c r="I79" s="48" t="n">
        <v>190</v>
      </c>
      <c r="J79" s="49" t="n">
        <v>200</v>
      </c>
      <c r="K79" s="49" t="n">
        <v>220</v>
      </c>
      <c r="L79" s="50" t="n">
        <v>150</v>
      </c>
      <c r="M79" s="51" t="s">
        <v>329</v>
      </c>
      <c r="N79" s="51" t="s">
        <v>511</v>
      </c>
      <c r="O79" s="52" t="s">
        <v>331</v>
      </c>
      <c r="P79" s="53" t="n">
        <v>-0.107143</v>
      </c>
      <c r="Q79" s="54" t="s">
        <v>332</v>
      </c>
      <c r="R79" s="45" t="n">
        <v>15</v>
      </c>
      <c r="S79" s="44" t="str">
        <f aca="false">IFERROR(VLOOKUP(B79,SectorMap!A:B,2,0),"Banking")</f>
        <v>Banking</v>
      </c>
      <c r="T79" s="55" t="str">
        <f aca="false">IFERROR(VLOOKUP(B79,SectorMap!A:C,3,0),"Loan growth")</f>
        <v>Loan growth</v>
      </c>
      <c r="U79" s="56" t="s">
        <v>512</v>
      </c>
      <c r="V79" s="57" t="n">
        <v>150</v>
      </c>
    </row>
    <row r="80" customFormat="false" ht="18.75" hidden="false" customHeight="true" outlineLevel="0" collapsed="false">
      <c r="A80" s="58" t="n">
        <v>76</v>
      </c>
      <c r="B80" s="59" t="s">
        <v>117</v>
      </c>
      <c r="C80" s="60" t="s">
        <v>488</v>
      </c>
      <c r="D80" s="61" t="s">
        <v>509</v>
      </c>
      <c r="E80" s="62" t="n">
        <v>9800</v>
      </c>
      <c r="F80" s="62" t="n">
        <v>9850</v>
      </c>
      <c r="G80" s="61" t="s">
        <v>328</v>
      </c>
      <c r="H80" s="47" t="str">
        <f aca="false">IFERROR(googlefinance("NSE:BAJAJ-AUTO","price"),"–")</f>
        <v>–</v>
      </c>
      <c r="I80" s="63" t="n">
        <v>10000</v>
      </c>
      <c r="J80" s="64" t="n">
        <v>10500</v>
      </c>
      <c r="K80" s="64" t="n">
        <v>11500</v>
      </c>
      <c r="L80" s="65" t="n">
        <v>9750</v>
      </c>
      <c r="M80" s="72" t="s">
        <v>351</v>
      </c>
      <c r="N80" s="72" t="s">
        <v>513</v>
      </c>
      <c r="O80" s="73" t="s">
        <v>346</v>
      </c>
      <c r="P80" s="74" t="n">
        <v>0.173469</v>
      </c>
      <c r="Q80" s="75" t="s">
        <v>353</v>
      </c>
      <c r="R80" s="61" t="n">
        <v>60</v>
      </c>
      <c r="S80" s="60" t="str">
        <f aca="false">IFERROR(VLOOKUP(B80,SectorMap!A:B,2,0),"Auto")</f>
        <v>Auto</v>
      </c>
      <c r="T80" s="69" t="str">
        <f aca="false">IFERROR(VLOOKUP(B80,SectorMap!A:C,3,0),"Strong volumes")</f>
        <v>Strong volumes</v>
      </c>
      <c r="U80" s="76" t="s">
        <v>514</v>
      </c>
      <c r="V80" s="64" t="n">
        <v>11500</v>
      </c>
    </row>
    <row r="81" customFormat="false" ht="18.75" hidden="false" customHeight="true" outlineLevel="0" collapsed="false">
      <c r="A81" s="16" t="n">
        <v>77</v>
      </c>
      <c r="B81" s="43" t="s">
        <v>119</v>
      </c>
      <c r="C81" s="44" t="s">
        <v>515</v>
      </c>
      <c r="D81" s="45" t="s">
        <v>509</v>
      </c>
      <c r="E81" s="46" t="n">
        <v>1575</v>
      </c>
      <c r="F81" s="46" t="n">
        <v>1595</v>
      </c>
      <c r="G81" s="45" t="s">
        <v>328</v>
      </c>
      <c r="H81" s="47" t="str">
        <f aca="false">IFERROR(googlefinance("NSE:ASTRAL","price"),"–")</f>
        <v>–</v>
      </c>
      <c r="I81" s="48" t="n">
        <v>1700</v>
      </c>
      <c r="J81" s="49" t="n">
        <v>1800</v>
      </c>
      <c r="K81" s="49" t="n">
        <v>1900</v>
      </c>
      <c r="L81" s="50" t="n">
        <v>1530</v>
      </c>
      <c r="M81" s="77" t="s">
        <v>351</v>
      </c>
      <c r="N81" s="77" t="s">
        <v>516</v>
      </c>
      <c r="O81" s="73" t="s">
        <v>346</v>
      </c>
      <c r="P81" s="78" t="n">
        <v>0.206349</v>
      </c>
      <c r="Q81" s="79" t="s">
        <v>353</v>
      </c>
      <c r="R81" s="45" t="n">
        <v>60</v>
      </c>
      <c r="S81" s="44" t="str">
        <f aca="false">IFERROR(VLOOKUP(B81,SectorMap!A:B,2,0),"Consumer")</f>
        <v>Consumer</v>
      </c>
      <c r="T81" s="55" t="str">
        <f aca="false">IFERROR(VLOOKUP(B81,SectorMap!A:C,3,0),"Pipe demand")</f>
        <v>Pipe demand</v>
      </c>
      <c r="U81" s="80" t="s">
        <v>514</v>
      </c>
      <c r="V81" s="49" t="n">
        <v>1900</v>
      </c>
    </row>
    <row r="82" customFormat="false" ht="18.75" hidden="false" customHeight="true" outlineLevel="0" collapsed="false">
      <c r="A82" s="58" t="n">
        <v>78</v>
      </c>
      <c r="B82" s="59" t="s">
        <v>108</v>
      </c>
      <c r="C82" s="60" t="s">
        <v>517</v>
      </c>
      <c r="D82" s="61" t="s">
        <v>518</v>
      </c>
      <c r="E82" s="62" t="n">
        <v>60</v>
      </c>
      <c r="F82" s="62" t="n">
        <v>63</v>
      </c>
      <c r="G82" s="61" t="s">
        <v>328</v>
      </c>
      <c r="H82" s="47" t="str">
        <f aca="false">IFERROR(googlefinance("NSE:MAHABANK","price"),"–")</f>
        <v>–</v>
      </c>
      <c r="I82" s="63" t="n">
        <v>75</v>
      </c>
      <c r="J82" s="64" t="n">
        <v>90</v>
      </c>
      <c r="K82" s="64" t="n">
        <v>120</v>
      </c>
      <c r="L82" s="65" t="n">
        <v>50</v>
      </c>
      <c r="M82" s="72" t="s">
        <v>344</v>
      </c>
      <c r="N82" s="72" t="s">
        <v>519</v>
      </c>
      <c r="O82" s="73" t="s">
        <v>346</v>
      </c>
      <c r="P82" s="74" t="n">
        <v>0.25</v>
      </c>
      <c r="Q82" s="75" t="s">
        <v>347</v>
      </c>
      <c r="R82" s="61" t="n">
        <v>30</v>
      </c>
      <c r="S82" s="60" t="str">
        <f aca="false">IFERROR(VLOOKUP(B82,SectorMap!A:B,2,0),"Banking")</f>
        <v>Banking</v>
      </c>
      <c r="T82" s="69" t="str">
        <f aca="false">IFERROR(VLOOKUP(B82,SectorMap!A:C,3,0),"NPA reduction")</f>
        <v>NPA reduction</v>
      </c>
      <c r="U82" s="76" t="s">
        <v>520</v>
      </c>
      <c r="V82" s="64" t="n">
        <v>75</v>
      </c>
    </row>
    <row r="83" customFormat="false" ht="18.75" hidden="false" customHeight="true" outlineLevel="0" collapsed="false">
      <c r="A83" s="16" t="n">
        <v>79</v>
      </c>
      <c r="B83" s="43" t="s">
        <v>106</v>
      </c>
      <c r="C83" s="44" t="s">
        <v>521</v>
      </c>
      <c r="D83" s="45" t="s">
        <v>522</v>
      </c>
      <c r="E83" s="46" t="n">
        <v>285</v>
      </c>
      <c r="F83" s="46" t="n">
        <v>290</v>
      </c>
      <c r="G83" s="45" t="s">
        <v>328</v>
      </c>
      <c r="H83" s="47" t="str">
        <f aca="false">IFERROR(googlefinance("NSE:PRECWIRE","price"),"–")</f>
        <v>–</v>
      </c>
      <c r="I83" s="48" t="n">
        <v>325</v>
      </c>
      <c r="J83" s="49" t="n">
        <v>365</v>
      </c>
      <c r="K83" s="49" t="n">
        <v>425</v>
      </c>
      <c r="L83" s="50" t="n">
        <v>260</v>
      </c>
      <c r="M83" s="77" t="s">
        <v>351</v>
      </c>
      <c r="N83" s="77" t="s">
        <v>523</v>
      </c>
      <c r="O83" s="73" t="s">
        <v>346</v>
      </c>
      <c r="P83" s="78" t="n">
        <v>0.491228</v>
      </c>
      <c r="Q83" s="79" t="s">
        <v>353</v>
      </c>
      <c r="R83" s="45" t="n">
        <v>60</v>
      </c>
      <c r="S83" s="44" t="str">
        <f aca="false">IFERROR(VLOOKUP(B83,SectorMap!A:B,2,0),"Industrials")</f>
        <v>Industrials</v>
      </c>
      <c r="T83" s="55" t="str">
        <f aca="false">IFERROR(VLOOKUP(B83,SectorMap!A:C,3,0),"Copper demand")</f>
        <v>Copper demand</v>
      </c>
      <c r="U83" s="80" t="s">
        <v>524</v>
      </c>
      <c r="V83" s="49" t="n">
        <v>425</v>
      </c>
    </row>
    <row r="84" customFormat="false" ht="18.75" hidden="false" customHeight="true" outlineLevel="0" collapsed="false">
      <c r="A84" s="58" t="n">
        <v>80</v>
      </c>
      <c r="B84" s="59" t="s">
        <v>101</v>
      </c>
      <c r="C84" s="60" t="s">
        <v>525</v>
      </c>
      <c r="D84" s="61" t="s">
        <v>526</v>
      </c>
      <c r="E84" s="62" t="n">
        <v>950</v>
      </c>
      <c r="F84" s="62" t="n">
        <v>960</v>
      </c>
      <c r="G84" s="61" t="s">
        <v>328</v>
      </c>
      <c r="H84" s="47" t="str">
        <f aca="false">IFERROR(googlefinance("NSE:FORTIS","price"),"–")</f>
        <v>–</v>
      </c>
      <c r="I84" s="63" t="n">
        <v>1000</v>
      </c>
      <c r="J84" s="64" t="n">
        <v>1050</v>
      </c>
      <c r="K84" s="64" t="n">
        <v>1200</v>
      </c>
      <c r="L84" s="65" t="n">
        <v>900</v>
      </c>
      <c r="M84" s="82" t="str">
        <f aca="false">IF(OR(H84="",H84="–"),"–",IFERROR(IF(H84&lt;L84,"🔴 SL Hit",IF(AND(ISNUMBER(K84),H84&gt;=K84),"🎯 T3 Hit — Book!",IF(AND(ISNUMBER(J84),H84&gt;=J84),"🎯 T2 Hit — Book!",IF(AND(ISNUMBER(I84),H84&gt;=I84),"🎯 T1 Hit — Book!",IF(AND(H84&gt;=E84),"🟡 In/Above Buy Zone","🔻 Below Buy Zone"))))),"-"))</f>
        <v>–</v>
      </c>
      <c r="N84" s="83" t="str">
        <f aca="false">IF(M84="🎯 T3 Hit — Book!","🏆 BOOK T3 PROFITS!",IF(M84="🎯 T2 Hit — Book!","🎯 BOOK T2 PROFITS!",IF(M84="🎯 T1 Hit — Book!","📈 BOOK T1 PROFITS!",IF(M84="🔴 SL Hit","⚠️ EXIT NOW!",IF(M84="🟡 In/Above Buy Zone","🔔 BUY NOW!","⏳ Wait")))))</f>
        <v>⏳ Wait</v>
      </c>
      <c r="O84" s="84" t="s">
        <v>362</v>
      </c>
      <c r="P84" s="85" t="str">
        <f aca="false">IF(OR(ISBLANK(H84),H84="–",NOT(ISNUMBER(H84)),E84=0),"–",(H84-E84)/E84)</f>
        <v>–</v>
      </c>
      <c r="Q84" s="86" t="s">
        <v>362</v>
      </c>
      <c r="R84" s="61" t="n">
        <v>120</v>
      </c>
      <c r="S84" s="60" t="str">
        <f aca="false">IFERROR(VLOOKUP(B84,SectorMap!A:B,2,0),"Healthcare")</f>
        <v>Healthcare</v>
      </c>
      <c r="T84" s="69" t="str">
        <f aca="false">IFERROR(VLOOKUP(B84,SectorMap!A:C,3,0),"Hospital exp.")</f>
        <v>Hospital exp.</v>
      </c>
      <c r="U84" s="61" t="s">
        <v>363</v>
      </c>
      <c r="V84" s="87" t="s">
        <v>361</v>
      </c>
    </row>
    <row r="85" customFormat="false" ht="18.75" hidden="false" customHeight="true" outlineLevel="0" collapsed="false">
      <c r="A85" s="16" t="n">
        <v>81</v>
      </c>
      <c r="B85" s="43" t="s">
        <v>104</v>
      </c>
      <c r="C85" s="44" t="s">
        <v>104</v>
      </c>
      <c r="D85" s="45" t="s">
        <v>526</v>
      </c>
      <c r="E85" s="46" t="n">
        <v>365</v>
      </c>
      <c r="F85" s="46" t="n">
        <v>370</v>
      </c>
      <c r="G85" s="45" t="s">
        <v>328</v>
      </c>
      <c r="H85" s="47" t="str">
        <f aca="false">IFERROR(googlefinance("NSE:NTPC","price"),"–")</f>
        <v>–</v>
      </c>
      <c r="I85" s="48" t="n">
        <v>385</v>
      </c>
      <c r="J85" s="49" t="n">
        <v>390</v>
      </c>
      <c r="K85" s="49" t="n">
        <v>399.9</v>
      </c>
      <c r="L85" s="50" t="n">
        <v>355</v>
      </c>
      <c r="M85" s="77" t="s">
        <v>351</v>
      </c>
      <c r="N85" s="77" t="s">
        <v>527</v>
      </c>
      <c r="O85" s="73" t="s">
        <v>346</v>
      </c>
      <c r="P85" s="78" t="n">
        <v>0.095616</v>
      </c>
      <c r="Q85" s="79" t="s">
        <v>353</v>
      </c>
      <c r="R85" s="45" t="n">
        <v>60</v>
      </c>
      <c r="S85" s="44" t="str">
        <f aca="false">IFERROR(VLOOKUP(B85,SectorMap!A:B,2,0),"Power")</f>
        <v>Power</v>
      </c>
      <c r="T85" s="55" t="str">
        <f aca="false">IFERROR(VLOOKUP(B85,SectorMap!A:C,3,0),"Renewables")</f>
        <v>Renewables</v>
      </c>
      <c r="U85" s="80" t="s">
        <v>528</v>
      </c>
      <c r="V85" s="49" t="n">
        <v>399.9</v>
      </c>
    </row>
    <row r="86" customFormat="false" ht="18.75" hidden="false" customHeight="true" outlineLevel="0" collapsed="false">
      <c r="A86" s="58" t="n">
        <v>82</v>
      </c>
      <c r="B86" s="59" t="s">
        <v>99</v>
      </c>
      <c r="C86" s="60" t="s">
        <v>529</v>
      </c>
      <c r="D86" s="61" t="s">
        <v>530</v>
      </c>
      <c r="E86" s="62" t="n">
        <v>150</v>
      </c>
      <c r="F86" s="62" t="n">
        <v>155</v>
      </c>
      <c r="G86" s="61" t="s">
        <v>328</v>
      </c>
      <c r="H86" s="47" t="str">
        <f aca="false">IFERROR(googlefinance("NSE:IOC","price"),"–")</f>
        <v>–</v>
      </c>
      <c r="I86" s="63" t="n">
        <v>160</v>
      </c>
      <c r="J86" s="64" t="n">
        <v>165</v>
      </c>
      <c r="K86" s="64" t="n">
        <v>170</v>
      </c>
      <c r="L86" s="65" t="n">
        <v>145</v>
      </c>
      <c r="M86" s="66" t="s">
        <v>329</v>
      </c>
      <c r="N86" s="66" t="s">
        <v>447</v>
      </c>
      <c r="O86" s="52" t="s">
        <v>331</v>
      </c>
      <c r="P86" s="67" t="n">
        <v>-0.033333</v>
      </c>
      <c r="Q86" s="68" t="s">
        <v>332</v>
      </c>
      <c r="R86" s="61" t="n">
        <v>15</v>
      </c>
      <c r="S86" s="60" t="str">
        <f aca="false">IFERROR(VLOOKUP(B86,SectorMap!A:B,2,0),"Energy")</f>
        <v>Energy</v>
      </c>
      <c r="T86" s="69" t="str">
        <f aca="false">IFERROR(VLOOKUP(B86,SectorMap!A:C,3,0),"Dividend play")</f>
        <v>Dividend play</v>
      </c>
      <c r="U86" s="70" t="s">
        <v>531</v>
      </c>
      <c r="V86" s="71" t="n">
        <v>145</v>
      </c>
    </row>
    <row r="87" customFormat="false" ht="18.75" hidden="false" customHeight="true" outlineLevel="0" collapsed="false">
      <c r="A87" s="16" t="n">
        <v>83</v>
      </c>
      <c r="B87" s="43" t="s">
        <v>77</v>
      </c>
      <c r="C87" s="44" t="s">
        <v>532</v>
      </c>
      <c r="D87" s="45" t="s">
        <v>454</v>
      </c>
      <c r="E87" s="46" t="n">
        <v>2450</v>
      </c>
      <c r="F87" s="46" t="n">
        <v>2500</v>
      </c>
      <c r="G87" s="45" t="s">
        <v>328</v>
      </c>
      <c r="H87" s="47" t="str">
        <f aca="false">IFERROR(googlefinance("NSE:MTARTECH","price"),"–")</f>
        <v>–</v>
      </c>
      <c r="I87" s="48" t="n">
        <v>3500</v>
      </c>
      <c r="J87" s="49" t="n">
        <v>4500</v>
      </c>
      <c r="K87" s="49" t="n">
        <v>6500</v>
      </c>
      <c r="L87" s="50" t="n">
        <v>2000</v>
      </c>
      <c r="M87" s="77" t="s">
        <v>351</v>
      </c>
      <c r="N87" s="77" t="s">
        <v>533</v>
      </c>
      <c r="O87" s="73" t="s">
        <v>346</v>
      </c>
      <c r="P87" s="78" t="n">
        <v>1.653061</v>
      </c>
      <c r="Q87" s="79" t="s">
        <v>353</v>
      </c>
      <c r="R87" s="45" t="n">
        <v>60</v>
      </c>
      <c r="S87" s="44" t="str">
        <f aca="false">IFERROR(VLOOKUP(B87,SectorMap!A:B,2,0),"Defence")</f>
        <v>Defence</v>
      </c>
      <c r="T87" s="55" t="str">
        <f aca="false">IFERROR(VLOOKUP(B87,SectorMap!A:C,3,0),"Space orders")</f>
        <v>Space orders</v>
      </c>
      <c r="U87" s="80" t="s">
        <v>534</v>
      </c>
      <c r="V87" s="49" t="n">
        <v>6500</v>
      </c>
    </row>
    <row r="88" customFormat="false" ht="18.75" hidden="false" customHeight="true" outlineLevel="0" collapsed="false">
      <c r="A88" s="58" t="n">
        <v>84</v>
      </c>
      <c r="B88" s="59" t="s">
        <v>87</v>
      </c>
      <c r="C88" s="60" t="s">
        <v>87</v>
      </c>
      <c r="D88" s="61" t="s">
        <v>454</v>
      </c>
      <c r="E88" s="62" t="n">
        <v>457</v>
      </c>
      <c r="F88" s="62" t="n">
        <v>460</v>
      </c>
      <c r="G88" s="61" t="s">
        <v>328</v>
      </c>
      <c r="H88" s="47" t="str">
        <f aca="false">IFERROR(googlefinance("NSE:BEL","price"),"–")</f>
        <v>–</v>
      </c>
      <c r="I88" s="63" t="n">
        <v>480</v>
      </c>
      <c r="J88" s="64" t="n">
        <v>500</v>
      </c>
      <c r="K88" s="64" t="n">
        <v>525</v>
      </c>
      <c r="L88" s="65" t="n">
        <v>430</v>
      </c>
      <c r="M88" s="82" t="str">
        <f aca="false">IF(OR(H88="",H88="–"),"–",IFERROR(IF(H88&lt;L88,"🔴 SL Hit",IF(AND(ISNUMBER(K88),H88&gt;=K88),"🎯 T3 Hit — Book!",IF(AND(ISNUMBER(J88),H88&gt;=J88),"🎯 T2 Hit — Book!",IF(AND(ISNUMBER(I88),H88&gt;=I88),"🎯 T1 Hit — Book!",IF(AND(H88&gt;=E88),"🟡 In/Above Buy Zone","🔻 Below Buy Zone"))))),"-"))</f>
        <v>–</v>
      </c>
      <c r="N88" s="83" t="str">
        <f aca="false">IF(M88="🎯 T3 Hit — Book!","🏆 BOOK T3 PROFITS!",IF(M88="🎯 T2 Hit — Book!","🎯 BOOK T2 PROFITS!",IF(M88="🎯 T1 Hit — Book!","📈 BOOK T1 PROFITS!",IF(M88="🔴 SL Hit","⚠️ EXIT NOW!",IF(M88="🟡 In/Above Buy Zone","🔔 BUY NOW!","⏳ Wait")))))</f>
        <v>⏳ Wait</v>
      </c>
      <c r="O88" s="84" t="s">
        <v>362</v>
      </c>
      <c r="P88" s="85" t="str">
        <f aca="false">IF(OR(ISBLANK(H88),H88="–",NOT(ISNUMBER(H88)),E88=0),"–",(H88-E88)/E88)</f>
        <v>–</v>
      </c>
      <c r="Q88" s="86" t="s">
        <v>362</v>
      </c>
      <c r="R88" s="61" t="n">
        <v>116</v>
      </c>
      <c r="S88" s="60" t="str">
        <f aca="false">IFERROR(VLOOKUP(B88,SectorMap!A:B,2,0),"Defence")</f>
        <v>Defence</v>
      </c>
      <c r="T88" s="69" t="str">
        <f aca="false">IFERROR(VLOOKUP(B88,SectorMap!A:C,3,0),"Budget boost")</f>
        <v>Budget boost</v>
      </c>
      <c r="U88" s="61" t="s">
        <v>363</v>
      </c>
      <c r="V88" s="87" t="s">
        <v>361</v>
      </c>
    </row>
    <row r="89" customFormat="false" ht="18.75" hidden="false" customHeight="true" outlineLevel="0" collapsed="false">
      <c r="A89" s="16" t="n">
        <v>85</v>
      </c>
      <c r="B89" s="43" t="s">
        <v>121</v>
      </c>
      <c r="C89" s="44" t="s">
        <v>535</v>
      </c>
      <c r="D89" s="45" t="s">
        <v>536</v>
      </c>
      <c r="E89" s="46" t="n">
        <v>1585</v>
      </c>
      <c r="F89" s="46" t="n">
        <v>1590</v>
      </c>
      <c r="G89" s="45" t="s">
        <v>328</v>
      </c>
      <c r="H89" s="47" t="str">
        <f aca="false">IFERROR(googlefinance("NSE:CPPLUS","price"),"–")</f>
        <v>–</v>
      </c>
      <c r="I89" s="48" t="n">
        <v>1650</v>
      </c>
      <c r="J89" s="49" t="n">
        <v>1685</v>
      </c>
      <c r="K89" s="49" t="n">
        <v>1725</v>
      </c>
      <c r="L89" s="50" t="n">
        <v>1550</v>
      </c>
      <c r="M89" s="77" t="s">
        <v>351</v>
      </c>
      <c r="N89" s="77" t="s">
        <v>537</v>
      </c>
      <c r="O89" s="73" t="s">
        <v>346</v>
      </c>
      <c r="P89" s="78" t="n">
        <v>0.088328</v>
      </c>
      <c r="Q89" s="79" t="s">
        <v>353</v>
      </c>
      <c r="R89" s="45" t="n">
        <v>60</v>
      </c>
      <c r="S89" s="44" t="str">
        <f aca="false">IFERROR(VLOOKUP(B89,SectorMap!A:B,2,0),"IT")</f>
        <v>IT</v>
      </c>
      <c r="T89" s="55" t="str">
        <f aca="false">IFERROR(VLOOKUP(B89,SectorMap!A:C,3,0),"Security tech")</f>
        <v>Security tech</v>
      </c>
      <c r="U89" s="80" t="s">
        <v>538</v>
      </c>
      <c r="V89" s="49" t="n">
        <v>1725</v>
      </c>
    </row>
    <row r="90" customFormat="false" ht="18.75" hidden="false" customHeight="true" outlineLevel="0" collapsed="false">
      <c r="A90" s="58" t="n">
        <v>86</v>
      </c>
      <c r="B90" s="59" t="s">
        <v>123</v>
      </c>
      <c r="C90" s="60" t="s">
        <v>539</v>
      </c>
      <c r="D90" s="61" t="s">
        <v>540</v>
      </c>
      <c r="E90" s="62" t="n">
        <v>1530</v>
      </c>
      <c r="F90" s="62" t="n">
        <v>1535</v>
      </c>
      <c r="G90" s="61" t="s">
        <v>328</v>
      </c>
      <c r="H90" s="47" t="str">
        <f aca="false">IFERROR(googlefinance("NSE:LGEINDIA","price"),"–")</f>
        <v>–</v>
      </c>
      <c r="I90" s="63" t="n">
        <v>1600</v>
      </c>
      <c r="J90" s="64" t="n">
        <v>1640</v>
      </c>
      <c r="K90" s="81" t="s">
        <v>361</v>
      </c>
      <c r="L90" s="65" t="n">
        <v>1490</v>
      </c>
      <c r="M90" s="72" t="s">
        <v>375</v>
      </c>
      <c r="N90" s="72" t="s">
        <v>541</v>
      </c>
      <c r="O90" s="73" t="s">
        <v>346</v>
      </c>
      <c r="P90" s="74" t="n">
        <v>0.071895</v>
      </c>
      <c r="Q90" s="75" t="s">
        <v>377</v>
      </c>
      <c r="R90" s="61" t="n">
        <v>45</v>
      </c>
      <c r="S90" s="60" t="str">
        <f aca="false">IFERROR(VLOOKUP(B90,SectorMap!A:B,2,0),"Consumer")</f>
        <v>Consumer</v>
      </c>
      <c r="T90" s="69" t="str">
        <f aca="false">IFERROR(VLOOKUP(B90,SectorMap!A:C,3,0),"Premiumisation")</f>
        <v>Premiumisation</v>
      </c>
      <c r="U90" s="76" t="s">
        <v>542</v>
      </c>
      <c r="V90" s="64" t="n">
        <v>1640</v>
      </c>
    </row>
    <row r="91" customFormat="false" ht="18.75" hidden="false" customHeight="true" outlineLevel="0" collapsed="false">
      <c r="A91" s="16" t="n">
        <v>87</v>
      </c>
      <c r="B91" s="43" t="s">
        <v>125</v>
      </c>
      <c r="C91" s="44" t="s">
        <v>125</v>
      </c>
      <c r="D91" s="45" t="s">
        <v>540</v>
      </c>
      <c r="E91" s="46" t="n">
        <v>1000</v>
      </c>
      <c r="F91" s="46" t="n">
        <v>1015</v>
      </c>
      <c r="G91" s="45" t="s">
        <v>328</v>
      </c>
      <c r="H91" s="47" t="str">
        <f aca="false">IFERROR(googlefinance("NSE:NSDL","price"),"–")</f>
        <v>–</v>
      </c>
      <c r="I91" s="48" t="n">
        <v>1050</v>
      </c>
      <c r="J91" s="49" t="n">
        <v>1100</v>
      </c>
      <c r="K91" s="91" t="s">
        <v>361</v>
      </c>
      <c r="L91" s="50" t="n">
        <v>980</v>
      </c>
      <c r="M91" s="77" t="s">
        <v>375</v>
      </c>
      <c r="N91" s="77" t="s">
        <v>543</v>
      </c>
      <c r="O91" s="73" t="s">
        <v>346</v>
      </c>
      <c r="P91" s="78" t="n">
        <v>0.1</v>
      </c>
      <c r="Q91" s="79" t="s">
        <v>377</v>
      </c>
      <c r="R91" s="45" t="n">
        <v>45</v>
      </c>
      <c r="S91" s="44" t="str">
        <f aca="false">IFERROR(VLOOKUP(B91,SectorMap!A:B,2,0),"Finance")</f>
        <v>Finance</v>
      </c>
      <c r="T91" s="55" t="str">
        <f aca="false">IFERROR(VLOOKUP(B91,SectorMap!A:C,3,0),"Demat growth")</f>
        <v>Demat growth</v>
      </c>
      <c r="U91" s="80" t="s">
        <v>542</v>
      </c>
      <c r="V91" s="49" t="n">
        <v>1100</v>
      </c>
    </row>
    <row r="92" customFormat="false" ht="18.75" hidden="false" customHeight="true" outlineLevel="0" collapsed="false">
      <c r="A92" s="58" t="n">
        <v>88</v>
      </c>
      <c r="B92" s="59" t="s">
        <v>128</v>
      </c>
      <c r="C92" s="60" t="s">
        <v>544</v>
      </c>
      <c r="D92" s="61" t="s">
        <v>540</v>
      </c>
      <c r="E92" s="62" t="n">
        <v>385</v>
      </c>
      <c r="F92" s="62" t="n">
        <v>387</v>
      </c>
      <c r="G92" s="61" t="s">
        <v>328</v>
      </c>
      <c r="H92" s="47" t="str">
        <f aca="false">IFERROR(googlefinance("NSE:AMAGI","price"),"–")</f>
        <v>–</v>
      </c>
      <c r="I92" s="63" t="n">
        <v>400</v>
      </c>
      <c r="J92" s="64" t="n">
        <v>405</v>
      </c>
      <c r="K92" s="64" t="n">
        <v>425</v>
      </c>
      <c r="L92" s="65" t="n">
        <v>375</v>
      </c>
      <c r="M92" s="72" t="s">
        <v>351</v>
      </c>
      <c r="N92" s="72" t="s">
        <v>545</v>
      </c>
      <c r="O92" s="73" t="s">
        <v>346</v>
      </c>
      <c r="P92" s="74" t="n">
        <v>0.103896</v>
      </c>
      <c r="Q92" s="75" t="s">
        <v>353</v>
      </c>
      <c r="R92" s="61" t="n">
        <v>60</v>
      </c>
      <c r="S92" s="60" t="str">
        <f aca="false">IFERROR(VLOOKUP(B92,SectorMap!A:B,2,0),"Media")</f>
        <v>Media</v>
      </c>
      <c r="T92" s="69" t="str">
        <f aca="false">IFERROR(VLOOKUP(B92,SectorMap!A:C,3,0),"Streaming rev.")</f>
        <v>Streaming rev.</v>
      </c>
      <c r="U92" s="76" t="s">
        <v>546</v>
      </c>
      <c r="V92" s="64" t="n">
        <v>425</v>
      </c>
    </row>
    <row r="93" customFormat="false" ht="18.75" hidden="false" customHeight="true" outlineLevel="0" collapsed="false">
      <c r="A93" s="16" t="n">
        <v>89</v>
      </c>
      <c r="B93" s="43" t="s">
        <v>83</v>
      </c>
      <c r="C93" s="44" t="s">
        <v>547</v>
      </c>
      <c r="D93" s="45" t="s">
        <v>548</v>
      </c>
      <c r="E93" s="46" t="n">
        <v>165</v>
      </c>
      <c r="F93" s="46" t="n">
        <v>170</v>
      </c>
      <c r="G93" s="45" t="s">
        <v>328</v>
      </c>
      <c r="H93" s="47" t="str">
        <f aca="false">IFERROR(googlefinance("NSE:STLTECH","price"),"–")</f>
        <v>–</v>
      </c>
      <c r="I93" s="48" t="n">
        <v>200</v>
      </c>
      <c r="J93" s="49" t="n">
        <v>250</v>
      </c>
      <c r="K93" s="49" t="n">
        <v>295</v>
      </c>
      <c r="L93" s="50" t="n">
        <v>150</v>
      </c>
      <c r="M93" s="77" t="s">
        <v>351</v>
      </c>
      <c r="N93" s="77" t="s">
        <v>549</v>
      </c>
      <c r="O93" s="73" t="s">
        <v>346</v>
      </c>
      <c r="P93" s="78" t="n">
        <v>0.787879</v>
      </c>
      <c r="Q93" s="79" t="s">
        <v>353</v>
      </c>
      <c r="R93" s="45" t="n">
        <v>60</v>
      </c>
      <c r="S93" s="44" t="str">
        <f aca="false">IFERROR(VLOOKUP(B93,SectorMap!A:B,2,0),"Telecom")</f>
        <v>Telecom</v>
      </c>
      <c r="T93" s="55" t="str">
        <f aca="false">IFERROR(VLOOKUP(B93,SectorMap!A:C,3,0),"Fibre rollout")</f>
        <v>Fibre rollout</v>
      </c>
      <c r="U93" s="80" t="s">
        <v>550</v>
      </c>
      <c r="V93" s="49" t="n">
        <v>295</v>
      </c>
    </row>
    <row r="94" customFormat="false" ht="18.75" hidden="false" customHeight="true" outlineLevel="0" collapsed="false">
      <c r="A94" s="58" t="n">
        <v>90</v>
      </c>
      <c r="B94" s="59" t="s">
        <v>85</v>
      </c>
      <c r="C94" s="60" t="s">
        <v>551</v>
      </c>
      <c r="D94" s="61" t="s">
        <v>548</v>
      </c>
      <c r="E94" s="62" t="n">
        <v>1625</v>
      </c>
      <c r="F94" s="62" t="n">
        <v>1680</v>
      </c>
      <c r="G94" s="61" t="s">
        <v>328</v>
      </c>
      <c r="H94" s="47" t="str">
        <f aca="false">IFERROR(googlefinance("NSE:BHARATFORG","price"),"–")</f>
        <v>–</v>
      </c>
      <c r="I94" s="63" t="n">
        <v>1890</v>
      </c>
      <c r="J94" s="64" t="n">
        <v>2100</v>
      </c>
      <c r="K94" s="64" t="n">
        <v>2400</v>
      </c>
      <c r="L94" s="65" t="n">
        <v>1550</v>
      </c>
      <c r="M94" s="72" t="s">
        <v>344</v>
      </c>
      <c r="N94" s="72" t="s">
        <v>552</v>
      </c>
      <c r="O94" s="73" t="s">
        <v>346</v>
      </c>
      <c r="P94" s="74" t="n">
        <v>0.163077</v>
      </c>
      <c r="Q94" s="75" t="s">
        <v>347</v>
      </c>
      <c r="R94" s="61" t="n">
        <v>30</v>
      </c>
      <c r="S94" s="60" t="str">
        <f aca="false">IFERROR(VLOOKUP(B94,SectorMap!A:B,2,0),"Auto")</f>
        <v>Auto</v>
      </c>
      <c r="T94" s="69" t="str">
        <f aca="false">IFERROR(VLOOKUP(B94,SectorMap!A:C,3,0),"Defence+Auto")</f>
        <v>Defence+Auto</v>
      </c>
      <c r="U94" s="76" t="s">
        <v>553</v>
      </c>
      <c r="V94" s="64" t="n">
        <v>1890</v>
      </c>
    </row>
    <row r="95" customFormat="false" ht="18.75" hidden="false" customHeight="true" outlineLevel="0" collapsed="false">
      <c r="A95" s="16" t="n">
        <v>91</v>
      </c>
      <c r="B95" s="43" t="s">
        <v>89</v>
      </c>
      <c r="C95" s="44" t="s">
        <v>554</v>
      </c>
      <c r="D95" s="45" t="s">
        <v>548</v>
      </c>
      <c r="E95" s="46" t="n">
        <v>865</v>
      </c>
      <c r="F95" s="46" t="n">
        <v>890</v>
      </c>
      <c r="G95" s="45" t="s">
        <v>328</v>
      </c>
      <c r="H95" s="47" t="str">
        <f aca="false">IFERROR(googlefinance("NSE:ABSLMF","price"),"–")</f>
        <v>–</v>
      </c>
      <c r="I95" s="48" t="n">
        <v>1000</v>
      </c>
      <c r="J95" s="49" t="n">
        <v>1100</v>
      </c>
      <c r="K95" s="49" t="n">
        <v>1200</v>
      </c>
      <c r="L95" s="50" t="n">
        <v>800</v>
      </c>
      <c r="M95" s="77" t="s">
        <v>344</v>
      </c>
      <c r="N95" s="77" t="s">
        <v>555</v>
      </c>
      <c r="O95" s="73" t="s">
        <v>346</v>
      </c>
      <c r="P95" s="78" t="n">
        <v>0.156069</v>
      </c>
      <c r="Q95" s="79" t="s">
        <v>347</v>
      </c>
      <c r="R95" s="45" t="n">
        <v>30</v>
      </c>
      <c r="S95" s="44" t="str">
        <f aca="false">IFERROR(VLOOKUP(B95,SectorMap!A:B,2,0),"AMC")</f>
        <v>AMC</v>
      </c>
      <c r="T95" s="55" t="str">
        <f aca="false">IFERROR(VLOOKUP(B95,SectorMap!A:C,3,0),"Equity AUM")</f>
        <v>Equity AUM</v>
      </c>
      <c r="U95" s="80" t="s">
        <v>553</v>
      </c>
      <c r="V95" s="49" t="n">
        <v>1000</v>
      </c>
    </row>
    <row r="96" customFormat="false" ht="18.75" hidden="false" customHeight="true" outlineLevel="0" collapsed="false">
      <c r="A96" s="58" t="n">
        <v>92</v>
      </c>
      <c r="B96" s="59" t="s">
        <v>91</v>
      </c>
      <c r="C96" s="60" t="s">
        <v>556</v>
      </c>
      <c r="D96" s="61" t="s">
        <v>548</v>
      </c>
      <c r="E96" s="62" t="n">
        <v>175</v>
      </c>
      <c r="F96" s="62" t="n">
        <v>180</v>
      </c>
      <c r="G96" s="61" t="s">
        <v>328</v>
      </c>
      <c r="H96" s="47" t="str">
        <f aca="false">IFERROR(googlefinance("NSE:BELRISE","price"),"–")</f>
        <v>–</v>
      </c>
      <c r="I96" s="63" t="n">
        <v>196</v>
      </c>
      <c r="J96" s="64" t="n">
        <v>210</v>
      </c>
      <c r="K96" s="64" t="n">
        <v>213</v>
      </c>
      <c r="L96" s="65" t="n">
        <v>165</v>
      </c>
      <c r="M96" s="72" t="s">
        <v>351</v>
      </c>
      <c r="N96" s="72" t="s">
        <v>557</v>
      </c>
      <c r="O96" s="73" t="s">
        <v>346</v>
      </c>
      <c r="P96" s="74" t="n">
        <v>0.217143</v>
      </c>
      <c r="Q96" s="75" t="s">
        <v>353</v>
      </c>
      <c r="R96" s="61" t="n">
        <v>60</v>
      </c>
      <c r="S96" s="60" t="str">
        <f aca="false">IFERROR(VLOOKUP(B96,SectorMap!A:B,2,0),"Auto")</f>
        <v>Auto</v>
      </c>
      <c r="T96" s="69" t="str">
        <f aca="false">IFERROR(VLOOKUP(B96,SectorMap!A:C,3,0),"EV suppliers")</f>
        <v>EV suppliers</v>
      </c>
      <c r="U96" s="76" t="s">
        <v>550</v>
      </c>
      <c r="V96" s="64" t="n">
        <v>213</v>
      </c>
    </row>
    <row r="97" customFormat="false" ht="18.75" hidden="false" customHeight="true" outlineLevel="0" collapsed="false">
      <c r="A97" s="16" t="n">
        <v>93</v>
      </c>
      <c r="B97" s="43" t="s">
        <v>93</v>
      </c>
      <c r="C97" s="44" t="s">
        <v>558</v>
      </c>
      <c r="D97" s="45" t="s">
        <v>548</v>
      </c>
      <c r="E97" s="46" t="n">
        <v>3065</v>
      </c>
      <c r="F97" s="46" t="n">
        <v>3085</v>
      </c>
      <c r="G97" s="45" t="s">
        <v>328</v>
      </c>
      <c r="H97" s="47" t="str">
        <f aca="false">IFERROR(googlefinance("NSE:THERMAX","price"),"–")</f>
        <v>–</v>
      </c>
      <c r="I97" s="48" t="n">
        <v>3400</v>
      </c>
      <c r="J97" s="49" t="n">
        <v>3600</v>
      </c>
      <c r="K97" s="49" t="n">
        <v>4065</v>
      </c>
      <c r="L97" s="50" t="n">
        <v>2950</v>
      </c>
      <c r="M97" s="77" t="s">
        <v>351</v>
      </c>
      <c r="N97" s="77" t="s">
        <v>559</v>
      </c>
      <c r="O97" s="73" t="s">
        <v>346</v>
      </c>
      <c r="P97" s="78" t="n">
        <v>0.326264</v>
      </c>
      <c r="Q97" s="79" t="s">
        <v>353</v>
      </c>
      <c r="R97" s="45" t="n">
        <v>60</v>
      </c>
      <c r="S97" s="44" t="str">
        <f aca="false">IFERROR(VLOOKUP(B97,SectorMap!A:B,2,0),"Industrials")</f>
        <v>Industrials</v>
      </c>
      <c r="T97" s="55" t="str">
        <f aca="false">IFERROR(VLOOKUP(B97,SectorMap!A:C,3,0),"Order wins")</f>
        <v>Order wins</v>
      </c>
      <c r="U97" s="80" t="s">
        <v>550</v>
      </c>
      <c r="V97" s="49" t="n">
        <v>4065</v>
      </c>
    </row>
    <row r="98" customFormat="false" ht="18.75" hidden="false" customHeight="true" outlineLevel="0" collapsed="false">
      <c r="A98" s="58" t="n">
        <v>94</v>
      </c>
      <c r="B98" s="59" t="s">
        <v>95</v>
      </c>
      <c r="C98" s="60" t="s">
        <v>95</v>
      </c>
      <c r="D98" s="61" t="s">
        <v>548</v>
      </c>
      <c r="E98" s="62" t="n">
        <v>185</v>
      </c>
      <c r="F98" s="62" t="n">
        <v>187</v>
      </c>
      <c r="G98" s="61" t="s">
        <v>328</v>
      </c>
      <c r="H98" s="47" t="str">
        <f aca="false">IFERROR(googlefinance("NSE:MRPL","price"),"–")</f>
        <v>–</v>
      </c>
      <c r="I98" s="63" t="n">
        <v>190</v>
      </c>
      <c r="J98" s="64" t="n">
        <v>200</v>
      </c>
      <c r="K98" s="64" t="n">
        <v>220</v>
      </c>
      <c r="L98" s="65" t="n">
        <v>172</v>
      </c>
      <c r="M98" s="66" t="s">
        <v>329</v>
      </c>
      <c r="N98" s="66" t="s">
        <v>560</v>
      </c>
      <c r="O98" s="52" t="s">
        <v>331</v>
      </c>
      <c r="P98" s="67" t="n">
        <v>-0.07027</v>
      </c>
      <c r="Q98" s="68" t="s">
        <v>332</v>
      </c>
      <c r="R98" s="61" t="n">
        <v>15</v>
      </c>
      <c r="S98" s="60" t="str">
        <f aca="false">IFERROR(VLOOKUP(B98,SectorMap!A:B,2,0),"Energy")</f>
        <v>Energy</v>
      </c>
      <c r="T98" s="69" t="str">
        <f aca="false">IFERROR(VLOOKUP(B98,SectorMap!A:C,3,0),"GRM expansion")</f>
        <v>GRM expansion</v>
      </c>
      <c r="U98" s="70" t="s">
        <v>561</v>
      </c>
      <c r="V98" s="71" t="n">
        <v>172</v>
      </c>
    </row>
    <row r="99" customFormat="false" ht="18.75" hidden="false" customHeight="true" outlineLevel="0" collapsed="false">
      <c r="A99" s="16" t="n">
        <v>95</v>
      </c>
      <c r="B99" s="43" t="s">
        <v>97</v>
      </c>
      <c r="C99" s="44" t="s">
        <v>562</v>
      </c>
      <c r="D99" s="45" t="s">
        <v>548</v>
      </c>
      <c r="E99" s="46" t="n">
        <v>1330</v>
      </c>
      <c r="F99" s="46" t="n">
        <v>1135</v>
      </c>
      <c r="G99" s="45" t="s">
        <v>328</v>
      </c>
      <c r="H99" s="47" t="str">
        <f aca="false">IFERROR(googlefinance("NSE:GESHIP","price"),"–")</f>
        <v>–</v>
      </c>
      <c r="I99" s="48" t="n">
        <v>1400</v>
      </c>
      <c r="J99" s="49" t="n">
        <v>1450</v>
      </c>
      <c r="K99" s="49" t="n">
        <v>1580</v>
      </c>
      <c r="L99" s="50" t="n">
        <v>1290</v>
      </c>
      <c r="M99" s="77" t="s">
        <v>351</v>
      </c>
      <c r="N99" s="77" t="s">
        <v>563</v>
      </c>
      <c r="O99" s="73" t="s">
        <v>346</v>
      </c>
      <c r="P99" s="78" t="n">
        <v>0.18797</v>
      </c>
      <c r="Q99" s="79" t="s">
        <v>353</v>
      </c>
      <c r="R99" s="45" t="n">
        <v>60</v>
      </c>
      <c r="S99" s="44" t="str">
        <f aca="false">IFERROR(VLOOKUP(B99,SectorMap!A:B,2,0),"Logistics")</f>
        <v>Logistics</v>
      </c>
      <c r="T99" s="55" t="str">
        <f aca="false">IFERROR(VLOOKUP(B99,SectorMap!A:C,3,0),"Freight rates")</f>
        <v>Freight rates</v>
      </c>
      <c r="U99" s="80" t="s">
        <v>550</v>
      </c>
      <c r="V99" s="49" t="n">
        <v>1580</v>
      </c>
    </row>
    <row r="100" customFormat="false" ht="18.75" hidden="false" customHeight="true" outlineLevel="0" collapsed="false">
      <c r="A100" s="58" t="n">
        <v>96</v>
      </c>
      <c r="B100" s="59" t="s">
        <v>81</v>
      </c>
      <c r="C100" s="60" t="s">
        <v>564</v>
      </c>
      <c r="D100" s="61" t="s">
        <v>512</v>
      </c>
      <c r="E100" s="62" t="n">
        <v>2085</v>
      </c>
      <c r="F100" s="62" t="n">
        <v>2130</v>
      </c>
      <c r="G100" s="61" t="s">
        <v>328</v>
      </c>
      <c r="H100" s="47" t="str">
        <f aca="false">IFERROR(googlefinance("NSE:GLENMARK","price"),"–")</f>
        <v>–</v>
      </c>
      <c r="I100" s="63" t="n">
        <v>2400</v>
      </c>
      <c r="J100" s="81" t="s">
        <v>361</v>
      </c>
      <c r="K100" s="81" t="s">
        <v>361</v>
      </c>
      <c r="L100" s="65" t="n">
        <v>2000</v>
      </c>
      <c r="M100" s="72" t="s">
        <v>344</v>
      </c>
      <c r="N100" s="72" t="s">
        <v>565</v>
      </c>
      <c r="O100" s="73" t="s">
        <v>346</v>
      </c>
      <c r="P100" s="74" t="n">
        <v>0.151079</v>
      </c>
      <c r="Q100" s="75" t="s">
        <v>347</v>
      </c>
      <c r="R100" s="61" t="n">
        <v>30</v>
      </c>
      <c r="S100" s="60" t="str">
        <f aca="false">IFERROR(VLOOKUP(B100,SectorMap!A:B,2,0),"Pharma")</f>
        <v>Pharma</v>
      </c>
      <c r="T100" s="69" t="str">
        <f aca="false">IFERROR(VLOOKUP(B100,SectorMap!A:C,3,0),"EU filing")</f>
        <v>EU filing</v>
      </c>
      <c r="U100" s="76" t="s">
        <v>566</v>
      </c>
      <c r="V100" s="64" t="n">
        <v>2400</v>
      </c>
    </row>
    <row r="101" customFormat="false" ht="18.75" hidden="false" customHeight="true" outlineLevel="0" collapsed="false">
      <c r="A101" s="16" t="n">
        <v>97</v>
      </c>
      <c r="B101" s="43" t="s">
        <v>79</v>
      </c>
      <c r="C101" s="44" t="s">
        <v>567</v>
      </c>
      <c r="D101" s="45" t="s">
        <v>568</v>
      </c>
      <c r="E101" s="46" t="n">
        <v>3000</v>
      </c>
      <c r="F101" s="46" t="n">
        <v>3050</v>
      </c>
      <c r="G101" s="45" t="s">
        <v>328</v>
      </c>
      <c r="H101" s="47" t="str">
        <f aca="false">IFERROR(googlefinance("NSE:AJANTPHARM","price"),"–")</f>
        <v>–</v>
      </c>
      <c r="I101" s="48" t="n">
        <v>3300</v>
      </c>
      <c r="J101" s="49" t="n">
        <v>3800</v>
      </c>
      <c r="K101" s="49" t="n">
        <v>4000</v>
      </c>
      <c r="L101" s="50" t="n">
        <v>2800</v>
      </c>
      <c r="M101" s="28" t="str">
        <f aca="false">IF(OR(H101="",H101="–"),"–",IFERROR(IF(H101&lt;L101,"🔴 SL Hit",IF(AND(ISNUMBER(K101),H101&gt;=K101),"🎯 T3 Hit — Book!",IF(AND(ISNUMBER(J101),H101&gt;=J101),"🎯 T2 Hit — Book!",IF(AND(ISNUMBER(I101),H101&gt;=I101),"🎯 T1 Hit — Book!",IF(AND(H101&gt;=E101),"🟡 In/Above Buy Zone","🔻 Below Buy Zone"))))),"-"))</f>
        <v>–</v>
      </c>
      <c r="N101" s="88" t="str">
        <f aca="false">IF(M101="🎯 T3 Hit — Book!","🏆 BOOK T3 PROFITS!",IF(M101="🎯 T2 Hit — Book!","🎯 BOOK T2 PROFITS!",IF(M101="🎯 T1 Hit — Book!","📈 BOOK T1 PROFITS!",IF(M101="🔴 SL Hit","⚠️ EXIT NOW!",IF(M101="🟡 In/Above Buy Zone","🔔 BUY NOW!","⏳ Wait")))))</f>
        <v>⏳ Wait</v>
      </c>
      <c r="O101" s="84" t="s">
        <v>362</v>
      </c>
      <c r="P101" s="89" t="str">
        <f aca="false">IF(OR(ISBLANK(H101),H101="–",NOT(ISNUMBER(H101)),E101=0),"–",(H101-E101)/E101)</f>
        <v>–</v>
      </c>
      <c r="Q101" s="90" t="s">
        <v>362</v>
      </c>
      <c r="R101" s="45" t="n">
        <v>107</v>
      </c>
      <c r="S101" s="44" t="str">
        <f aca="false">IFERROR(VLOOKUP(B101,SectorMap!A:B,2,0),"Pharma")</f>
        <v>Pharma</v>
      </c>
      <c r="T101" s="55" t="str">
        <f aca="false">IFERROR(VLOOKUP(B101,SectorMap!A:C,3,0),"Branded generics")</f>
        <v>Branded generics</v>
      </c>
      <c r="U101" s="45" t="s">
        <v>363</v>
      </c>
      <c r="V101" s="35" t="s">
        <v>361</v>
      </c>
    </row>
    <row r="102" customFormat="false" ht="18.75" hidden="false" customHeight="true" outlineLevel="0" collapsed="false">
      <c r="A102" s="58" t="n">
        <v>98</v>
      </c>
      <c r="B102" s="59" t="s">
        <v>131</v>
      </c>
      <c r="C102" s="60" t="s">
        <v>569</v>
      </c>
      <c r="D102" s="61" t="s">
        <v>568</v>
      </c>
      <c r="E102" s="62" t="n">
        <v>148</v>
      </c>
      <c r="F102" s="62" t="n">
        <v>150</v>
      </c>
      <c r="G102" s="61" t="s">
        <v>328</v>
      </c>
      <c r="H102" s="47" t="str">
        <f aca="false">IFERROR(googlefinance("NSE:SAMMANCAP","price"),"–")</f>
        <v>–</v>
      </c>
      <c r="I102" s="63" t="n">
        <v>160</v>
      </c>
      <c r="J102" s="64" t="n">
        <v>165</v>
      </c>
      <c r="K102" s="81" t="s">
        <v>361</v>
      </c>
      <c r="L102" s="65" t="n">
        <v>144</v>
      </c>
      <c r="M102" s="72" t="s">
        <v>375</v>
      </c>
      <c r="N102" s="72" t="s">
        <v>570</v>
      </c>
      <c r="O102" s="73" t="s">
        <v>346</v>
      </c>
      <c r="P102" s="74" t="n">
        <v>0.114865</v>
      </c>
      <c r="Q102" s="75" t="s">
        <v>377</v>
      </c>
      <c r="R102" s="61" t="n">
        <v>45</v>
      </c>
      <c r="S102" s="60" t="str">
        <f aca="false">IFERROR(VLOOKUP(B102,SectorMap!A:B,2,0),"Finance")</f>
        <v>Finance</v>
      </c>
      <c r="T102" s="69" t="str">
        <f aca="false">IFERROR(VLOOKUP(B102,SectorMap!A:C,3,0),"Small-cap play")</f>
        <v>Small-cap play</v>
      </c>
      <c r="U102" s="76" t="s">
        <v>571</v>
      </c>
      <c r="V102" s="64" t="n">
        <v>165</v>
      </c>
    </row>
    <row r="103" customFormat="false" ht="18.75" hidden="false" customHeight="true" outlineLevel="0" collapsed="false">
      <c r="A103" s="16" t="n">
        <v>99</v>
      </c>
      <c r="B103" s="43" t="s">
        <v>133</v>
      </c>
      <c r="C103" s="44" t="s">
        <v>572</v>
      </c>
      <c r="D103" s="45" t="s">
        <v>573</v>
      </c>
      <c r="E103" s="46" t="n">
        <v>580</v>
      </c>
      <c r="F103" s="46" t="n">
        <v>580</v>
      </c>
      <c r="G103" s="45" t="s">
        <v>328</v>
      </c>
      <c r="H103" s="47" t="str">
        <f aca="false">IFERROR(googlefinance("NSE:ANTELOPUS","price"),"–")</f>
        <v>–</v>
      </c>
      <c r="I103" s="48" t="n">
        <v>620</v>
      </c>
      <c r="J103" s="49" t="n">
        <v>650</v>
      </c>
      <c r="K103" s="49" t="n">
        <v>700</v>
      </c>
      <c r="L103" s="50" t="n">
        <v>560</v>
      </c>
      <c r="M103" s="77" t="s">
        <v>351</v>
      </c>
      <c r="N103" s="77" t="s">
        <v>574</v>
      </c>
      <c r="O103" s="73" t="s">
        <v>346</v>
      </c>
      <c r="P103" s="78" t="n">
        <v>0.206897</v>
      </c>
      <c r="Q103" s="79" t="s">
        <v>353</v>
      </c>
      <c r="R103" s="45" t="n">
        <v>60</v>
      </c>
      <c r="S103" s="44" t="str">
        <f aca="false">IFERROR(VLOOKUP(B103,SectorMap!A:B,2,0),"IT")</f>
        <v>IT</v>
      </c>
      <c r="T103" s="55" t="str">
        <f aca="false">IFERROR(VLOOKUP(B103,SectorMap!A:C,3,0),"AI tailwind")</f>
        <v>AI tailwind</v>
      </c>
      <c r="U103" s="80" t="s">
        <v>575</v>
      </c>
      <c r="V103" s="49" t="n">
        <v>700</v>
      </c>
    </row>
    <row r="104" customFormat="false" ht="18.75" hidden="false" customHeight="true" outlineLevel="0" collapsed="false">
      <c r="A104" s="58" t="n">
        <v>100</v>
      </c>
      <c r="B104" s="59" t="s">
        <v>135</v>
      </c>
      <c r="C104" s="60" t="s">
        <v>135</v>
      </c>
      <c r="D104" s="61" t="s">
        <v>576</v>
      </c>
      <c r="E104" s="62" t="n">
        <v>3120</v>
      </c>
      <c r="F104" s="62" t="n">
        <v>3180</v>
      </c>
      <c r="G104" s="61" t="s">
        <v>328</v>
      </c>
      <c r="H104" s="47" t="str">
        <f aca="false">IFERROR(googlefinance("NSE:TCS","price"),"–")</f>
        <v>–</v>
      </c>
      <c r="I104" s="63" t="n">
        <v>3260</v>
      </c>
      <c r="J104" s="64" t="n">
        <v>3320</v>
      </c>
      <c r="K104" s="64" t="n">
        <v>3440</v>
      </c>
      <c r="L104" s="65" t="n">
        <v>3040</v>
      </c>
      <c r="M104" s="72" t="s">
        <v>351</v>
      </c>
      <c r="N104" s="72" t="s">
        <v>577</v>
      </c>
      <c r="O104" s="73" t="s">
        <v>346</v>
      </c>
      <c r="P104" s="74" t="n">
        <v>0.102564</v>
      </c>
      <c r="Q104" s="75" t="s">
        <v>353</v>
      </c>
      <c r="R104" s="61" t="n">
        <v>60</v>
      </c>
      <c r="S104" s="60" t="str">
        <f aca="false">IFERROR(VLOOKUP(B104,SectorMap!A:B,2,0),"IT")</f>
        <v>IT</v>
      </c>
      <c r="T104" s="69" t="str">
        <f aca="false">IFERROR(VLOOKUP(B104,SectorMap!A:C,3,0),"BFSI ramp-up")</f>
        <v>BFSI ramp-up</v>
      </c>
      <c r="U104" s="76" t="s">
        <v>578</v>
      </c>
      <c r="V104" s="64" t="n">
        <v>3440</v>
      </c>
    </row>
    <row r="105" customFormat="false" ht="18.75" hidden="false" customHeight="true" outlineLevel="0" collapsed="false">
      <c r="A105" s="16" t="n">
        <v>101</v>
      </c>
      <c r="B105" s="43" t="s">
        <v>137</v>
      </c>
      <c r="C105" s="44" t="s">
        <v>393</v>
      </c>
      <c r="D105" s="45" t="s">
        <v>576</v>
      </c>
      <c r="E105" s="46" t="n">
        <v>2590</v>
      </c>
      <c r="F105" s="46" t="n">
        <v>2595</v>
      </c>
      <c r="G105" s="45" t="s">
        <v>328</v>
      </c>
      <c r="H105" s="47" t="str">
        <f aca="false">IFERROR(googlefinance("NSE:BSE","price"),"–")</f>
        <v>–</v>
      </c>
      <c r="I105" s="48" t="n">
        <v>2700</v>
      </c>
      <c r="J105" s="49" t="n">
        <v>2800</v>
      </c>
      <c r="K105" s="49" t="n">
        <v>3000</v>
      </c>
      <c r="L105" s="50" t="n">
        <v>2560</v>
      </c>
      <c r="M105" s="77" t="s">
        <v>351</v>
      </c>
      <c r="N105" s="77" t="s">
        <v>579</v>
      </c>
      <c r="O105" s="73" t="s">
        <v>346</v>
      </c>
      <c r="P105" s="78" t="n">
        <v>0.158301</v>
      </c>
      <c r="Q105" s="79" t="s">
        <v>353</v>
      </c>
      <c r="R105" s="45" t="n">
        <v>60</v>
      </c>
      <c r="S105" s="44" t="str">
        <f aca="false">IFERROR(VLOOKUP(B105,SectorMap!A:B,2,0),"Finance")</f>
        <v>Finance</v>
      </c>
      <c r="T105" s="55" t="str">
        <f aca="false">IFERROR(VLOOKUP(B105,SectorMap!A:C,3,0),"Volume surge")</f>
        <v>Volume surge</v>
      </c>
      <c r="U105" s="80" t="s">
        <v>578</v>
      </c>
      <c r="V105" s="49" t="n">
        <v>3000</v>
      </c>
    </row>
    <row r="106" customFormat="false" ht="18.75" hidden="false" customHeight="true" outlineLevel="0" collapsed="false">
      <c r="A106" s="58" t="n">
        <v>102</v>
      </c>
      <c r="B106" s="59" t="s">
        <v>37</v>
      </c>
      <c r="C106" s="60" t="s">
        <v>37</v>
      </c>
      <c r="D106" s="61" t="s">
        <v>507</v>
      </c>
      <c r="E106" s="62" t="n">
        <v>95</v>
      </c>
      <c r="F106" s="62" t="n">
        <v>97</v>
      </c>
      <c r="G106" s="61" t="s">
        <v>328</v>
      </c>
      <c r="H106" s="47" t="str">
        <f aca="false">IFERROR(googlefinance("NSE:IRFC","price"),"–")</f>
        <v>–</v>
      </c>
      <c r="I106" s="63" t="n">
        <v>100</v>
      </c>
      <c r="J106" s="64" t="n">
        <v>105</v>
      </c>
      <c r="K106" s="64" t="n">
        <v>112</v>
      </c>
      <c r="L106" s="65" t="n">
        <v>93</v>
      </c>
      <c r="M106" s="72" t="s">
        <v>344</v>
      </c>
      <c r="N106" s="72" t="s">
        <v>580</v>
      </c>
      <c r="O106" s="73" t="s">
        <v>346</v>
      </c>
      <c r="P106" s="74" t="n">
        <v>0.052632</v>
      </c>
      <c r="Q106" s="75" t="s">
        <v>347</v>
      </c>
      <c r="R106" s="61" t="n">
        <v>30</v>
      </c>
      <c r="S106" s="60" t="str">
        <f aca="false">IFERROR(VLOOKUP(B106,SectorMap!A:B,2,0),"NBFC")</f>
        <v>NBFC</v>
      </c>
      <c r="T106" s="69" t="str">
        <f aca="false">IFERROR(VLOOKUP(B106,SectorMap!A:C,3,0),"Railway capex")</f>
        <v>Railway capex</v>
      </c>
      <c r="U106" s="76" t="s">
        <v>581</v>
      </c>
      <c r="V106" s="64" t="n">
        <v>100</v>
      </c>
    </row>
    <row r="107" customFormat="false" ht="18.75" hidden="false" customHeight="true" outlineLevel="0" collapsed="false">
      <c r="A107" s="16" t="n">
        <v>103</v>
      </c>
      <c r="B107" s="43" t="s">
        <v>40</v>
      </c>
      <c r="C107" s="44" t="s">
        <v>40</v>
      </c>
      <c r="D107" s="45" t="s">
        <v>582</v>
      </c>
      <c r="E107" s="46" t="n">
        <v>100</v>
      </c>
      <c r="F107" s="46" t="n">
        <v>110</v>
      </c>
      <c r="G107" s="45" t="s">
        <v>328</v>
      </c>
      <c r="H107" s="47" t="str">
        <f aca="false">IFERROR(googlefinance("NSE:IREDA","price"),"–")</f>
        <v>–</v>
      </c>
      <c r="I107" s="48" t="n">
        <v>130</v>
      </c>
      <c r="J107" s="49" t="n">
        <v>160</v>
      </c>
      <c r="K107" s="49" t="n">
        <v>200</v>
      </c>
      <c r="L107" s="50" t="n">
        <v>92</v>
      </c>
      <c r="M107" s="77" t="s">
        <v>344</v>
      </c>
      <c r="N107" s="77" t="s">
        <v>583</v>
      </c>
      <c r="O107" s="73" t="s">
        <v>346</v>
      </c>
      <c r="P107" s="78" t="n">
        <v>0.3</v>
      </c>
      <c r="Q107" s="79" t="s">
        <v>347</v>
      </c>
      <c r="R107" s="45" t="n">
        <v>30</v>
      </c>
      <c r="S107" s="44" t="str">
        <f aca="false">IFERROR(VLOOKUP(B107,SectorMap!A:B,2,0),"NBFC")</f>
        <v>NBFC</v>
      </c>
      <c r="T107" s="55" t="str">
        <f aca="false">IFERROR(VLOOKUP(B107,SectorMap!A:C,3,0),"Green energy")</f>
        <v>Green energy</v>
      </c>
      <c r="U107" s="80" t="s">
        <v>584</v>
      </c>
      <c r="V107" s="49" t="n">
        <v>130</v>
      </c>
    </row>
    <row r="108" customFormat="false" ht="18.75" hidden="false" customHeight="true" outlineLevel="0" collapsed="false">
      <c r="A108" s="58" t="n">
        <v>104</v>
      </c>
      <c r="B108" s="59" t="s">
        <v>67</v>
      </c>
      <c r="C108" s="60" t="s">
        <v>585</v>
      </c>
      <c r="D108" s="61" t="s">
        <v>561</v>
      </c>
      <c r="E108" s="62" t="n">
        <v>1085</v>
      </c>
      <c r="F108" s="62" t="n">
        <v>1090</v>
      </c>
      <c r="G108" s="61" t="s">
        <v>328</v>
      </c>
      <c r="H108" s="47" t="str">
        <f aca="false">IFERROR(googlefinance("NSE:JINDALSTEEL","price"),"–")</f>
        <v>–</v>
      </c>
      <c r="I108" s="63" t="n">
        <v>1150</v>
      </c>
      <c r="J108" s="64" t="n">
        <v>1200</v>
      </c>
      <c r="K108" s="64" t="n">
        <v>1250</v>
      </c>
      <c r="L108" s="65" t="n">
        <v>950</v>
      </c>
      <c r="M108" s="72" t="s">
        <v>351</v>
      </c>
      <c r="N108" s="72" t="s">
        <v>586</v>
      </c>
      <c r="O108" s="73" t="s">
        <v>346</v>
      </c>
      <c r="P108" s="74" t="n">
        <v>0.152074</v>
      </c>
      <c r="Q108" s="75" t="s">
        <v>353</v>
      </c>
      <c r="R108" s="61" t="n">
        <v>60</v>
      </c>
      <c r="S108" s="60" t="str">
        <f aca="false">IFERROR(VLOOKUP(B108,SectorMap!A:B,2,0),"Metals")</f>
        <v>Metals</v>
      </c>
      <c r="T108" s="69" t="str">
        <f aca="false">IFERROR(VLOOKUP(B108,SectorMap!A:C,3,0),"Domestic demand")</f>
        <v>Domestic demand</v>
      </c>
      <c r="U108" s="76" t="s">
        <v>587</v>
      </c>
      <c r="V108" s="64" t="n">
        <v>1250</v>
      </c>
    </row>
    <row r="109" customFormat="false" ht="18.75" hidden="false" customHeight="true" outlineLevel="0" collapsed="false">
      <c r="A109" s="16" t="n">
        <v>105</v>
      </c>
      <c r="B109" s="43" t="s">
        <v>141</v>
      </c>
      <c r="C109" s="44" t="s">
        <v>588</v>
      </c>
      <c r="D109" s="45" t="s">
        <v>561</v>
      </c>
      <c r="E109" s="46" t="n">
        <v>1450</v>
      </c>
      <c r="F109" s="46" t="n">
        <v>1470</v>
      </c>
      <c r="G109" s="45" t="s">
        <v>328</v>
      </c>
      <c r="H109" s="47" t="str">
        <f aca="false">IFERROR(googlefinance("NSE:OBEROIRLTY","price"),"–")</f>
        <v>–</v>
      </c>
      <c r="I109" s="48" t="n">
        <v>1550</v>
      </c>
      <c r="J109" s="49" t="n">
        <v>1650</v>
      </c>
      <c r="K109" s="49" t="n">
        <v>1700</v>
      </c>
      <c r="L109" s="50" t="n">
        <v>1400</v>
      </c>
      <c r="M109" s="77" t="s">
        <v>351</v>
      </c>
      <c r="N109" s="77" t="s">
        <v>589</v>
      </c>
      <c r="O109" s="73" t="s">
        <v>346</v>
      </c>
      <c r="P109" s="78" t="n">
        <v>0.172414</v>
      </c>
      <c r="Q109" s="79" t="s">
        <v>353</v>
      </c>
      <c r="R109" s="45" t="n">
        <v>60</v>
      </c>
      <c r="S109" s="44" t="str">
        <f aca="false">IFERROR(VLOOKUP(B109,SectorMap!A:B,2,0),"Realty")</f>
        <v>Realty</v>
      </c>
      <c r="T109" s="55" t="str">
        <f aca="false">IFERROR(VLOOKUP(B109,SectorMap!A:C,3,0),"Luxury demand")</f>
        <v>Luxury demand</v>
      </c>
      <c r="U109" s="80" t="s">
        <v>587</v>
      </c>
      <c r="V109" s="49" t="n">
        <v>1700</v>
      </c>
    </row>
    <row r="110" customFormat="false" ht="18.75" hidden="false" customHeight="true" outlineLevel="0" collapsed="false">
      <c r="A110" s="58" t="n">
        <v>106</v>
      </c>
      <c r="B110" s="59" t="s">
        <v>144</v>
      </c>
      <c r="C110" s="60" t="s">
        <v>590</v>
      </c>
      <c r="D110" s="61" t="s">
        <v>561</v>
      </c>
      <c r="E110" s="62" t="n">
        <v>23</v>
      </c>
      <c r="F110" s="62" t="n">
        <v>23.5</v>
      </c>
      <c r="G110" s="61" t="s">
        <v>328</v>
      </c>
      <c r="H110" s="47" t="str">
        <f aca="false">IFERROR(googlefinance("NSE:RENUKA","price"),"–")</f>
        <v>–</v>
      </c>
      <c r="I110" s="63" t="n">
        <v>25</v>
      </c>
      <c r="J110" s="64" t="n">
        <v>30</v>
      </c>
      <c r="K110" s="64" t="n">
        <v>40</v>
      </c>
      <c r="L110" s="65" t="n">
        <v>20</v>
      </c>
      <c r="M110" s="72" t="s">
        <v>351</v>
      </c>
      <c r="N110" s="72" t="s">
        <v>591</v>
      </c>
      <c r="O110" s="73" t="s">
        <v>346</v>
      </c>
      <c r="P110" s="74" t="n">
        <v>0.73913</v>
      </c>
      <c r="Q110" s="75" t="s">
        <v>353</v>
      </c>
      <c r="R110" s="61" t="n">
        <v>60</v>
      </c>
      <c r="S110" s="60" t="str">
        <f aca="false">IFERROR(VLOOKUP(B110,SectorMap!A:B,2,0),"FMCG")</f>
        <v>FMCG</v>
      </c>
      <c r="T110" s="69" t="str">
        <f aca="false">IFERROR(VLOOKUP(B110,SectorMap!A:C,3,0),"Sugar exports")</f>
        <v>Sugar exports</v>
      </c>
      <c r="U110" s="76" t="s">
        <v>587</v>
      </c>
      <c r="V110" s="64" t="n">
        <v>40</v>
      </c>
    </row>
    <row r="111" customFormat="false" ht="18.75" hidden="false" customHeight="true" outlineLevel="0" collapsed="false">
      <c r="A111" s="16" t="n">
        <v>107</v>
      </c>
      <c r="B111" s="43" t="s">
        <v>149</v>
      </c>
      <c r="C111" s="44" t="s">
        <v>592</v>
      </c>
      <c r="D111" s="45" t="s">
        <v>593</v>
      </c>
      <c r="E111" s="46" t="n">
        <v>1665</v>
      </c>
      <c r="F111" s="46" t="n">
        <v>1670</v>
      </c>
      <c r="G111" s="45" t="s">
        <v>328</v>
      </c>
      <c r="H111" s="47" t="str">
        <f aca="false">IFERROR(googlefinance("NSE:HCLTECH","price"),"–")</f>
        <v>–</v>
      </c>
      <c r="I111" s="48" t="n">
        <v>1750</v>
      </c>
      <c r="J111" s="91" t="s">
        <v>361</v>
      </c>
      <c r="K111" s="91" t="s">
        <v>361</v>
      </c>
      <c r="L111" s="50" t="n">
        <v>1600</v>
      </c>
      <c r="M111" s="77" t="s">
        <v>344</v>
      </c>
      <c r="N111" s="77" t="s">
        <v>594</v>
      </c>
      <c r="O111" s="73" t="s">
        <v>346</v>
      </c>
      <c r="P111" s="78" t="n">
        <v>0.051051</v>
      </c>
      <c r="Q111" s="79" t="s">
        <v>347</v>
      </c>
      <c r="R111" s="45" t="n">
        <v>30</v>
      </c>
      <c r="S111" s="44" t="str">
        <f aca="false">IFERROR(VLOOKUP(B111,SectorMap!A:B,2,0),"IT")</f>
        <v>IT</v>
      </c>
      <c r="T111" s="55" t="str">
        <f aca="false">IFERROR(VLOOKUP(B111,SectorMap!A:C,3,0),"Deal ramp-up")</f>
        <v>Deal ramp-up</v>
      </c>
      <c r="U111" s="80" t="s">
        <v>528</v>
      </c>
      <c r="V111" s="49" t="n">
        <v>1750</v>
      </c>
    </row>
    <row r="112" customFormat="false" ht="18.75" hidden="false" customHeight="true" outlineLevel="0" collapsed="false">
      <c r="A112" s="58" t="n">
        <v>108</v>
      </c>
      <c r="B112" s="59" t="s">
        <v>151</v>
      </c>
      <c r="C112" s="60" t="s">
        <v>595</v>
      </c>
      <c r="D112" s="61" t="s">
        <v>593</v>
      </c>
      <c r="E112" s="62" t="n">
        <v>33</v>
      </c>
      <c r="F112" s="62" t="n">
        <v>33.5</v>
      </c>
      <c r="G112" s="61" t="s">
        <v>328</v>
      </c>
      <c r="H112" s="47" t="str">
        <f aca="false">IFERROR(googlefinance("NSE:OLA","price"),"–")</f>
        <v>–</v>
      </c>
      <c r="I112" s="63" t="n">
        <v>36</v>
      </c>
      <c r="J112" s="64" t="n">
        <v>37.5</v>
      </c>
      <c r="K112" s="64" t="n">
        <v>40</v>
      </c>
      <c r="L112" s="65" t="n">
        <v>32</v>
      </c>
      <c r="M112" s="72" t="s">
        <v>351</v>
      </c>
      <c r="N112" s="72" t="s">
        <v>596</v>
      </c>
      <c r="O112" s="73" t="s">
        <v>346</v>
      </c>
      <c r="P112" s="74" t="n">
        <v>0.212121</v>
      </c>
      <c r="Q112" s="75" t="s">
        <v>353</v>
      </c>
      <c r="R112" s="61" t="n">
        <v>60</v>
      </c>
      <c r="S112" s="60" t="str">
        <f aca="false">IFERROR(VLOOKUP(B112,SectorMap!A:B,2,0),"Auto")</f>
        <v>Auto</v>
      </c>
      <c r="T112" s="69" t="str">
        <f aca="false">IFERROR(VLOOKUP(B112,SectorMap!A:C,3,0),"EV push")</f>
        <v>EV push</v>
      </c>
      <c r="U112" s="76" t="s">
        <v>597</v>
      </c>
      <c r="V112" s="64" t="n">
        <v>40</v>
      </c>
    </row>
    <row r="113" customFormat="false" ht="18.75" hidden="false" customHeight="true" outlineLevel="0" collapsed="false">
      <c r="A113" s="16" t="n">
        <v>109</v>
      </c>
      <c r="B113" s="43" t="s">
        <v>146</v>
      </c>
      <c r="C113" s="44" t="s">
        <v>598</v>
      </c>
      <c r="D113" s="45" t="s">
        <v>599</v>
      </c>
      <c r="E113" s="46" t="n">
        <v>450</v>
      </c>
      <c r="F113" s="46" t="n">
        <v>470</v>
      </c>
      <c r="G113" s="45" t="s">
        <v>328</v>
      </c>
      <c r="H113" s="47" t="str">
        <f aca="false">IFERROR(googlefinance("NSE:JARO","price"),"–")</f>
        <v>–</v>
      </c>
      <c r="I113" s="48" t="n">
        <v>600</v>
      </c>
      <c r="J113" s="49" t="n">
        <v>700</v>
      </c>
      <c r="K113" s="49" t="n">
        <v>900</v>
      </c>
      <c r="L113" s="50" t="n">
        <v>400</v>
      </c>
      <c r="M113" s="77" t="s">
        <v>344</v>
      </c>
      <c r="N113" s="77" t="s">
        <v>600</v>
      </c>
      <c r="O113" s="73" t="s">
        <v>346</v>
      </c>
      <c r="P113" s="78" t="n">
        <v>0.333333</v>
      </c>
      <c r="Q113" s="79" t="s">
        <v>347</v>
      </c>
      <c r="R113" s="45" t="n">
        <v>30</v>
      </c>
      <c r="S113" s="44" t="str">
        <f aca="false">IFERROR(VLOOKUP(B113,SectorMap!A:B,2,0),"Education")</f>
        <v>Education</v>
      </c>
      <c r="T113" s="55" t="str">
        <f aca="false">IFERROR(VLOOKUP(B113,SectorMap!A:C,3,0),"Ed-tech growth")</f>
        <v>Ed-tech growth</v>
      </c>
      <c r="U113" s="80" t="s">
        <v>601</v>
      </c>
      <c r="V113" s="49" t="n">
        <v>600</v>
      </c>
    </row>
    <row r="114" customFormat="false" ht="18.75" hidden="false" customHeight="true" outlineLevel="0" collapsed="false">
      <c r="A114" s="58" t="n">
        <v>110</v>
      </c>
      <c r="B114" s="59" t="s">
        <v>28</v>
      </c>
      <c r="C114" s="60" t="s">
        <v>602</v>
      </c>
      <c r="D114" s="61" t="s">
        <v>497</v>
      </c>
      <c r="E114" s="62" t="n">
        <v>1200</v>
      </c>
      <c r="F114" s="62" t="n">
        <v>1250</v>
      </c>
      <c r="G114" s="61" t="s">
        <v>328</v>
      </c>
      <c r="H114" s="47" t="str">
        <f aca="false">IFERROR(googlefinance("NSE:COCHINSHIP","price"),"–")</f>
        <v>–</v>
      </c>
      <c r="I114" s="63" t="n">
        <v>1600</v>
      </c>
      <c r="J114" s="64" t="n">
        <v>1650</v>
      </c>
      <c r="K114" s="64" t="n">
        <v>2000</v>
      </c>
      <c r="L114" s="65" t="n">
        <v>1050</v>
      </c>
      <c r="M114" s="72" t="s">
        <v>375</v>
      </c>
      <c r="N114" s="72" t="s">
        <v>603</v>
      </c>
      <c r="O114" s="73" t="s">
        <v>346</v>
      </c>
      <c r="P114" s="74" t="n">
        <v>0.375</v>
      </c>
      <c r="Q114" s="75" t="s">
        <v>377</v>
      </c>
      <c r="R114" s="61" t="n">
        <v>45</v>
      </c>
      <c r="S114" s="60" t="str">
        <f aca="false">IFERROR(VLOOKUP(B114,SectorMap!A:B,2,0),"Defence")</f>
        <v>Defence</v>
      </c>
      <c r="T114" s="69" t="str">
        <f aca="false">IFERROR(VLOOKUP(B114,SectorMap!A:C,3,0),"Order book")</f>
        <v>Order book</v>
      </c>
      <c r="U114" s="76" t="s">
        <v>604</v>
      </c>
      <c r="V114" s="64" t="n">
        <v>1650</v>
      </c>
    </row>
    <row r="115" customFormat="false" ht="18.75" hidden="false" customHeight="true" outlineLevel="0" collapsed="false">
      <c r="A115" s="16" t="n">
        <v>111</v>
      </c>
      <c r="B115" s="43" t="s">
        <v>31</v>
      </c>
      <c r="C115" s="44" t="s">
        <v>605</v>
      </c>
      <c r="D115" s="45" t="s">
        <v>497</v>
      </c>
      <c r="E115" s="46" t="n">
        <v>440</v>
      </c>
      <c r="F115" s="46" t="n">
        <v>440</v>
      </c>
      <c r="G115" s="45" t="s">
        <v>328</v>
      </c>
      <c r="H115" s="47" t="str">
        <f aca="false">IFERROR(googlefinance("NSE:CHAMBLFERT","price"),"–")</f>
        <v>–</v>
      </c>
      <c r="I115" s="48" t="n">
        <v>500</v>
      </c>
      <c r="J115" s="49" t="n">
        <v>550</v>
      </c>
      <c r="K115" s="49" t="n">
        <v>600</v>
      </c>
      <c r="L115" s="50" t="n">
        <v>385</v>
      </c>
      <c r="M115" s="28" t="str">
        <f aca="false">IF(OR(H115="",H115="–"),"–",IFERROR(IF(H115&lt;L115,"🔴 SL Hit",IF(AND(ISNUMBER(K115),H115&gt;=K115),"🎯 T3 Hit — Book!",IF(AND(ISNUMBER(J115),H115&gt;=J115),"🎯 T2 Hit — Book!",IF(AND(ISNUMBER(I115),H115&gt;=I115),"🎯 T1 Hit — Book!",IF(AND(H115&gt;=E115),"🟡 In/Above Buy Zone","🔻 Below Buy Zone"))))),"-"))</f>
        <v>–</v>
      </c>
      <c r="N115" s="88" t="str">
        <f aca="false">IF(M115="🎯 T3 Hit — Book!","🏆 BOOK T3 PROFITS!",IF(M115="🎯 T2 Hit — Book!","🎯 BOOK T2 PROFITS!",IF(M115="🎯 T1 Hit — Book!","📈 BOOK T1 PROFITS!",IF(M115="🔴 SL Hit","⚠️ EXIT NOW!",IF(M115="🟡 In/Above Buy Zone","🔔 BUY NOW!","⏳ Wait")))))</f>
        <v>⏳ Wait</v>
      </c>
      <c r="O115" s="84" t="s">
        <v>362</v>
      </c>
      <c r="P115" s="89" t="str">
        <f aca="false">IF(OR(ISBLANK(H115),H115="–",NOT(ISNUMBER(H115)),E115=0),"–",(H115-E115)/E115)</f>
        <v>–</v>
      </c>
      <c r="Q115" s="90" t="s">
        <v>362</v>
      </c>
      <c r="R115" s="45" t="n">
        <v>87</v>
      </c>
      <c r="S115" s="44" t="str">
        <f aca="false">IFERROR(VLOOKUP(B115,SectorMap!A:B,2,0),"Chemicals")</f>
        <v>Chemicals</v>
      </c>
      <c r="T115" s="55" t="str">
        <f aca="false">IFERROR(VLOOKUP(B115,SectorMap!A:C,3,0),"Sector tailwind")</f>
        <v>Sector tailwind</v>
      </c>
      <c r="U115" s="45" t="s">
        <v>363</v>
      </c>
      <c r="V115" s="35" t="s">
        <v>361</v>
      </c>
    </row>
    <row r="116" customFormat="false" ht="18.75" hidden="false" customHeight="true" outlineLevel="0" collapsed="false">
      <c r="A116" s="58" t="n">
        <v>112</v>
      </c>
      <c r="B116" s="59" t="s">
        <v>67</v>
      </c>
      <c r="C116" s="60" t="s">
        <v>606</v>
      </c>
      <c r="D116" s="61" t="s">
        <v>497</v>
      </c>
      <c r="E116" s="62" t="n">
        <v>1075</v>
      </c>
      <c r="F116" s="62" t="n">
        <v>1100</v>
      </c>
      <c r="G116" s="61" t="s">
        <v>328</v>
      </c>
      <c r="H116" s="47" t="str">
        <f aca="false">IFERROR(googlefinance("NSE:JINDALSTEEL","price"),"–")</f>
        <v>–</v>
      </c>
      <c r="I116" s="63" t="n">
        <v>1250</v>
      </c>
      <c r="J116" s="64" t="n">
        <v>1300</v>
      </c>
      <c r="K116" s="64" t="n">
        <v>1500</v>
      </c>
      <c r="L116" s="65" t="n">
        <v>1028</v>
      </c>
      <c r="M116" s="72" t="s">
        <v>344</v>
      </c>
      <c r="N116" s="72" t="s">
        <v>552</v>
      </c>
      <c r="O116" s="73" t="s">
        <v>346</v>
      </c>
      <c r="P116" s="74" t="n">
        <v>0.162791</v>
      </c>
      <c r="Q116" s="75" t="s">
        <v>347</v>
      </c>
      <c r="R116" s="61" t="n">
        <v>30</v>
      </c>
      <c r="S116" s="60" t="str">
        <f aca="false">IFERROR(VLOOKUP(B116,SectorMap!A:B,2,0),"Metals")</f>
        <v>Metals</v>
      </c>
      <c r="T116" s="69" t="str">
        <f aca="false">IFERROR(VLOOKUP(B116,SectorMap!A:C,3,0),"Capex restart")</f>
        <v>Domestic demand</v>
      </c>
      <c r="U116" s="76" t="s">
        <v>607</v>
      </c>
      <c r="V116" s="64" t="n">
        <v>1250</v>
      </c>
    </row>
    <row r="117" customFormat="false" ht="18.75" hidden="false" customHeight="true" outlineLevel="0" collapsed="false">
      <c r="A117" s="16" t="n">
        <v>113</v>
      </c>
      <c r="B117" s="43" t="s">
        <v>26</v>
      </c>
      <c r="C117" s="44" t="s">
        <v>608</v>
      </c>
      <c r="D117" s="45" t="s">
        <v>609</v>
      </c>
      <c r="E117" s="46" t="n">
        <v>330</v>
      </c>
      <c r="F117" s="46" t="n">
        <v>335</v>
      </c>
      <c r="G117" s="45" t="s">
        <v>328</v>
      </c>
      <c r="H117" s="47" t="str">
        <f aca="false">IFERROR(googlefinance("NSE:PRAJIND","price"),"–")</f>
        <v>–</v>
      </c>
      <c r="I117" s="48" t="n">
        <v>385</v>
      </c>
      <c r="J117" s="49" t="n">
        <v>425</v>
      </c>
      <c r="K117" s="49" t="n">
        <v>450</v>
      </c>
      <c r="L117" s="50" t="n">
        <v>314</v>
      </c>
      <c r="M117" s="77" t="s">
        <v>344</v>
      </c>
      <c r="N117" s="77" t="s">
        <v>404</v>
      </c>
      <c r="O117" s="73" t="s">
        <v>346</v>
      </c>
      <c r="P117" s="78" t="n">
        <v>0.166667</v>
      </c>
      <c r="Q117" s="79" t="s">
        <v>347</v>
      </c>
      <c r="R117" s="45" t="n">
        <v>30</v>
      </c>
      <c r="S117" s="44" t="str">
        <f aca="false">IFERROR(VLOOKUP(B117,SectorMap!A:B,2,0),"Energy")</f>
        <v>Energy</v>
      </c>
      <c r="T117" s="55" t="str">
        <f aca="false">IFERROR(VLOOKUP(B117,SectorMap!A:C,3,0),"Crude recovery")</f>
        <v>Crude recovery</v>
      </c>
      <c r="U117" s="80" t="s">
        <v>610</v>
      </c>
      <c r="V117" s="49" t="n">
        <v>385</v>
      </c>
    </row>
    <row r="118" customFormat="false" ht="18.75" hidden="false" customHeight="true" outlineLevel="0" collapsed="false">
      <c r="A118" s="58" t="n">
        <v>114</v>
      </c>
      <c r="B118" s="59" t="s">
        <v>18</v>
      </c>
      <c r="C118" s="60" t="s">
        <v>611</v>
      </c>
      <c r="D118" s="61" t="s">
        <v>612</v>
      </c>
      <c r="E118" s="62" t="n">
        <v>200</v>
      </c>
      <c r="F118" s="62" t="n">
        <v>215</v>
      </c>
      <c r="G118" s="61" t="s">
        <v>328</v>
      </c>
      <c r="H118" s="47" t="str">
        <f aca="false">IFERROR(googlefinance("NSE:ANGELONE","price"),"–")</f>
        <v>–</v>
      </c>
      <c r="I118" s="63" t="n">
        <v>250</v>
      </c>
      <c r="J118" s="64" t="n">
        <v>260</v>
      </c>
      <c r="K118" s="64" t="n">
        <v>350</v>
      </c>
      <c r="L118" s="65" t="n">
        <v>193</v>
      </c>
      <c r="M118" s="72" t="s">
        <v>375</v>
      </c>
      <c r="N118" s="72" t="s">
        <v>613</v>
      </c>
      <c r="O118" s="73" t="s">
        <v>346</v>
      </c>
      <c r="P118" s="74" t="n">
        <v>0.3</v>
      </c>
      <c r="Q118" s="75" t="s">
        <v>377</v>
      </c>
      <c r="R118" s="61" t="n">
        <v>45</v>
      </c>
      <c r="S118" s="60" t="str">
        <f aca="false">IFERROR(VLOOKUP(B118,SectorMap!A:B,2,0),"Broking")</f>
        <v>Broking</v>
      </c>
      <c r="T118" s="69" t="str">
        <f aca="false">IFERROR(VLOOKUP(B118,SectorMap!A:C,3,0),"Weak guidance")</f>
        <v>Weak guidance</v>
      </c>
      <c r="U118" s="76" t="s">
        <v>614</v>
      </c>
      <c r="V118" s="64" t="n">
        <v>260</v>
      </c>
    </row>
    <row r="119" customFormat="false" ht="18.75" hidden="false" customHeight="true" outlineLevel="0" collapsed="false">
      <c r="A119" s="16" t="n">
        <v>115</v>
      </c>
      <c r="B119" s="43" t="s">
        <v>24</v>
      </c>
      <c r="C119" s="44" t="s">
        <v>615</v>
      </c>
      <c r="D119" s="45" t="s">
        <v>616</v>
      </c>
      <c r="E119" s="46" t="n">
        <v>1000</v>
      </c>
      <c r="F119" s="46" t="n">
        <v>1050</v>
      </c>
      <c r="G119" s="45" t="s">
        <v>328</v>
      </c>
      <c r="H119" s="47" t="str">
        <f aca="false">IFERROR(googlefinance("NSE:NATCOPHARM","price"),"–")</f>
        <v>–</v>
      </c>
      <c r="I119" s="48" t="n">
        <v>1150</v>
      </c>
      <c r="J119" s="49" t="n">
        <v>1200</v>
      </c>
      <c r="K119" s="91" t="s">
        <v>361</v>
      </c>
      <c r="L119" s="50" t="n">
        <v>975</v>
      </c>
      <c r="M119" s="77" t="s">
        <v>344</v>
      </c>
      <c r="N119" s="77" t="s">
        <v>457</v>
      </c>
      <c r="O119" s="73" t="s">
        <v>346</v>
      </c>
      <c r="P119" s="78" t="n">
        <v>0.15</v>
      </c>
      <c r="Q119" s="79" t="s">
        <v>347</v>
      </c>
      <c r="R119" s="45" t="n">
        <v>30</v>
      </c>
      <c r="S119" s="44" t="str">
        <f aca="false">IFERROR(VLOOKUP(B119,SectorMap!A:B,2,0),"Pharma")</f>
        <v>Pharma</v>
      </c>
      <c r="T119" s="55" t="str">
        <f aca="false">IFERROR(VLOOKUP(B119,SectorMap!A:C,3,0),"Quick commerce")</f>
        <v>Quick commerce</v>
      </c>
      <c r="U119" s="80" t="s">
        <v>617</v>
      </c>
      <c r="V119" s="49" t="n">
        <v>1150</v>
      </c>
    </row>
    <row r="120" customFormat="false" ht="18.75" hidden="false" customHeight="true" outlineLevel="0" collapsed="false">
      <c r="A120" s="58" t="n">
        <v>116</v>
      </c>
      <c r="B120" s="59" t="s">
        <v>62</v>
      </c>
      <c r="C120" s="60" t="s">
        <v>62</v>
      </c>
      <c r="D120" s="61" t="s">
        <v>616</v>
      </c>
      <c r="E120" s="62" t="n">
        <v>40</v>
      </c>
      <c r="F120" s="62" t="n">
        <v>47</v>
      </c>
      <c r="G120" s="61" t="s">
        <v>328</v>
      </c>
      <c r="H120" s="47" t="str">
        <f aca="false">IFERROR(googlefinance("NSE:EMBDL","price"),"–")</f>
        <v>–</v>
      </c>
      <c r="I120" s="63" t="n">
        <v>60</v>
      </c>
      <c r="J120" s="64" t="n">
        <v>100</v>
      </c>
      <c r="K120" s="64" t="n">
        <v>150</v>
      </c>
      <c r="L120" s="65" t="n">
        <v>35</v>
      </c>
      <c r="M120" s="82" t="str">
        <f aca="false">IF(OR(H120="",H120="–"),"–",IFERROR(IF(H120&lt;L120,"🔴 SL Hit",IF(AND(ISNUMBER(K120),H120&gt;=K120),"🎯 T3 Hit — Book!",IF(AND(ISNUMBER(J120),H120&gt;=J120),"🎯 T2 Hit — Book!",IF(AND(ISNUMBER(I120),H120&gt;=I120),"🎯 T1 Hit — Book!",IF(AND(H120&gt;=E120),"🟡 In/Above Buy Zone","🔻 Below Buy Zone"))))),"-"))</f>
        <v>–</v>
      </c>
      <c r="N120" s="83" t="str">
        <f aca="false">IF(M120="🎯 T3 Hit — Book!","🏆 BOOK T3 PROFITS!",IF(M120="🎯 T2 Hit — Book!","🎯 BOOK T2 PROFITS!",IF(M120="🎯 T1 Hit — Book!","📈 BOOK T1 PROFITS!",IF(M120="🔴 SL Hit","⚠️ EXIT NOW!",IF(M120="🟡 In/Above Buy Zone","🔔 BUY NOW!","⏳ Wait")))))</f>
        <v>⏳ Wait</v>
      </c>
      <c r="O120" s="84" t="s">
        <v>362</v>
      </c>
      <c r="P120" s="85" t="str">
        <f aca="false">IF(OR(ISBLANK(H120),H120="–",NOT(ISNUMBER(H120)),E120=0),"–",(H120-E120)/E120)</f>
        <v>–</v>
      </c>
      <c r="Q120" s="86" t="s">
        <v>362</v>
      </c>
      <c r="R120" s="61" t="n">
        <v>81</v>
      </c>
      <c r="S120" s="60" t="str">
        <f aca="false">IFERROR(VLOOKUP(B120,SectorMap!A:B,2,0),"Telecom")</f>
        <v>Telecom</v>
      </c>
      <c r="T120" s="69" t="str">
        <f aca="false">IFERROR(VLOOKUP(B120,SectorMap!A:C,3,0),"Capex tailwind")</f>
        <v>Capex tailwind</v>
      </c>
      <c r="U120" s="61" t="s">
        <v>363</v>
      </c>
      <c r="V120" s="87" t="s">
        <v>361</v>
      </c>
    </row>
    <row r="121" customFormat="false" ht="18.75" hidden="false" customHeight="true" outlineLevel="0" collapsed="false">
      <c r="A121" s="16" t="n">
        <v>117</v>
      </c>
      <c r="B121" s="43" t="s">
        <v>21</v>
      </c>
      <c r="C121" s="44" t="s">
        <v>618</v>
      </c>
      <c r="D121" s="45" t="s">
        <v>619</v>
      </c>
      <c r="E121" s="46" t="n">
        <v>83</v>
      </c>
      <c r="F121" s="46" t="n">
        <v>83</v>
      </c>
      <c r="G121" s="45" t="s">
        <v>328</v>
      </c>
      <c r="H121" s="47" t="str">
        <f aca="false">IFERROR(googlefinance("NSE:NMDC","price"),"–")</f>
        <v>–</v>
      </c>
      <c r="I121" s="48" t="n">
        <v>88</v>
      </c>
      <c r="J121" s="49" t="n">
        <v>90</v>
      </c>
      <c r="K121" s="49" t="n">
        <v>110</v>
      </c>
      <c r="L121" s="50" t="n">
        <v>80</v>
      </c>
      <c r="M121" s="77" t="s">
        <v>375</v>
      </c>
      <c r="N121" s="77" t="s">
        <v>620</v>
      </c>
      <c r="O121" s="73" t="s">
        <v>346</v>
      </c>
      <c r="P121" s="78" t="n">
        <v>0.084337</v>
      </c>
      <c r="Q121" s="79" t="s">
        <v>377</v>
      </c>
      <c r="R121" s="45" t="n">
        <v>45</v>
      </c>
      <c r="S121" s="44" t="str">
        <f aca="false">IFERROR(VLOOKUP(B121,SectorMap!A:B,2,0),"Metals")</f>
        <v>Metals</v>
      </c>
      <c r="T121" s="55" t="str">
        <f aca="false">IFERROR(VLOOKUP(B121,SectorMap!A:C,3,0),"Iron ore demand")</f>
        <v>Iron ore vol.</v>
      </c>
      <c r="U121" s="80" t="s">
        <v>621</v>
      </c>
      <c r="V121" s="49" t="n">
        <v>90</v>
      </c>
    </row>
    <row r="122" customFormat="false" ht="18.75" hidden="false" customHeight="true" outlineLevel="0" collapsed="false">
      <c r="A122" s="58" t="n">
        <v>118</v>
      </c>
      <c r="B122" s="59" t="s">
        <v>21</v>
      </c>
      <c r="C122" s="60" t="s">
        <v>618</v>
      </c>
      <c r="D122" s="61" t="s">
        <v>619</v>
      </c>
      <c r="E122" s="62" t="n">
        <v>79</v>
      </c>
      <c r="F122" s="62" t="n">
        <v>80</v>
      </c>
      <c r="G122" s="61" t="s">
        <v>328</v>
      </c>
      <c r="H122" s="47" t="str">
        <f aca="false">IFERROR(googlefinance("NSE:NMDC","price"),"–")</f>
        <v>–</v>
      </c>
      <c r="I122" s="63" t="n">
        <v>90</v>
      </c>
      <c r="J122" s="64" t="n">
        <v>94</v>
      </c>
      <c r="K122" s="64" t="n">
        <v>110</v>
      </c>
      <c r="L122" s="65" t="n">
        <v>78</v>
      </c>
      <c r="M122" s="72" t="s">
        <v>344</v>
      </c>
      <c r="N122" s="72" t="s">
        <v>622</v>
      </c>
      <c r="O122" s="73" t="s">
        <v>346</v>
      </c>
      <c r="P122" s="74" t="n">
        <v>0.139241</v>
      </c>
      <c r="Q122" s="75" t="s">
        <v>347</v>
      </c>
      <c r="R122" s="61" t="n">
        <v>30</v>
      </c>
      <c r="S122" s="60" t="str">
        <f aca="false">IFERROR(VLOOKUP(B122,SectorMap!A:B,2,0),"Metals")</f>
        <v>Metals</v>
      </c>
      <c r="T122" s="69" t="str">
        <f aca="false">IFERROR(VLOOKUP(B122,SectorMap!A:C,3,0),"Iron ore vol.")</f>
        <v>Iron ore vol.</v>
      </c>
      <c r="U122" s="76" t="s">
        <v>546</v>
      </c>
      <c r="V122" s="64" t="n">
        <v>90</v>
      </c>
    </row>
    <row r="123" customFormat="false" ht="18.75" hidden="false" customHeight="true" outlineLevel="0" collapsed="false">
      <c r="A123" s="16" t="n">
        <v>119</v>
      </c>
      <c r="B123" s="43" t="s">
        <v>74</v>
      </c>
      <c r="C123" s="44" t="s">
        <v>623</v>
      </c>
      <c r="D123" s="45" t="s">
        <v>553</v>
      </c>
      <c r="E123" s="46" t="n">
        <v>450</v>
      </c>
      <c r="F123" s="46" t="n">
        <v>460</v>
      </c>
      <c r="G123" s="45" t="s">
        <v>328</v>
      </c>
      <c r="H123" s="47" t="str">
        <f aca="false">IFERROR(googlefinance("NSE:DELHIVERY","price"),"–")</f>
        <v>–</v>
      </c>
      <c r="I123" s="48" t="n">
        <v>500</v>
      </c>
      <c r="J123" s="49" t="n">
        <v>550</v>
      </c>
      <c r="K123" s="49" t="n">
        <v>600</v>
      </c>
      <c r="L123" s="50" t="n">
        <v>400</v>
      </c>
      <c r="M123" s="77" t="s">
        <v>344</v>
      </c>
      <c r="N123" s="77" t="s">
        <v>624</v>
      </c>
      <c r="O123" s="73" t="s">
        <v>346</v>
      </c>
      <c r="P123" s="78" t="n">
        <v>0.111111</v>
      </c>
      <c r="Q123" s="79" t="s">
        <v>347</v>
      </c>
      <c r="R123" s="45" t="n">
        <v>30</v>
      </c>
      <c r="S123" s="44" t="str">
        <f aca="false">IFERROR(VLOOKUP(B123,SectorMap!A:B,2,0),"Logistics")</f>
        <v>Logistics</v>
      </c>
      <c r="T123" s="55" t="str">
        <f aca="false">IFERROR(VLOOKUP(B123,SectorMap!A:C,3,0),"Unit economics")</f>
        <v>Unit economics</v>
      </c>
      <c r="U123" s="80" t="s">
        <v>550</v>
      </c>
      <c r="V123" s="49" t="n">
        <v>500</v>
      </c>
    </row>
    <row r="124" customFormat="false" ht="18.75" hidden="false" customHeight="true" outlineLevel="0" collapsed="false">
      <c r="A124" s="58" t="n">
        <v>120</v>
      </c>
      <c r="B124" s="59" t="s">
        <v>60</v>
      </c>
      <c r="C124" s="60" t="s">
        <v>625</v>
      </c>
      <c r="D124" s="61" t="s">
        <v>566</v>
      </c>
      <c r="E124" s="62" t="n">
        <v>320</v>
      </c>
      <c r="F124" s="62" t="n">
        <v>345</v>
      </c>
      <c r="G124" s="61" t="s">
        <v>328</v>
      </c>
      <c r="H124" s="47" t="str">
        <f aca="false">IFERROR(googlefinance("NSE:RECLTD","price"),"–")</f>
        <v>–</v>
      </c>
      <c r="I124" s="63" t="n">
        <v>400</v>
      </c>
      <c r="J124" s="64" t="n">
        <v>425</v>
      </c>
      <c r="K124" s="64" t="n">
        <v>500</v>
      </c>
      <c r="L124" s="65" t="n">
        <v>300</v>
      </c>
      <c r="M124" s="72" t="s">
        <v>344</v>
      </c>
      <c r="N124" s="72" t="s">
        <v>519</v>
      </c>
      <c r="O124" s="73" t="s">
        <v>346</v>
      </c>
      <c r="P124" s="74" t="n">
        <v>0.25</v>
      </c>
      <c r="Q124" s="75" t="s">
        <v>347</v>
      </c>
      <c r="R124" s="61" t="n">
        <v>30</v>
      </c>
      <c r="S124" s="60" t="str">
        <f aca="false">IFERROR(VLOOKUP(B124,SectorMap!A:B,2,0),"NBFC")</f>
        <v>NBFC</v>
      </c>
      <c r="T124" s="69" t="str">
        <f aca="false">IFERROR(VLOOKUP(B124,SectorMap!A:C,3,0),"Power lending")</f>
        <v>Power lending</v>
      </c>
      <c r="U124" s="76" t="s">
        <v>626</v>
      </c>
      <c r="V124" s="64" t="n">
        <v>400</v>
      </c>
    </row>
    <row r="125" customFormat="false" ht="18.75" hidden="false" customHeight="true" outlineLevel="0" collapsed="false">
      <c r="A125" s="16" t="n">
        <v>121</v>
      </c>
      <c r="B125" s="43" t="s">
        <v>64</v>
      </c>
      <c r="C125" s="44" t="s">
        <v>627</v>
      </c>
      <c r="D125" s="45" t="s">
        <v>566</v>
      </c>
      <c r="E125" s="46" t="n">
        <v>4800</v>
      </c>
      <c r="F125" s="46" t="n">
        <v>4900</v>
      </c>
      <c r="G125" s="45" t="s">
        <v>328</v>
      </c>
      <c r="H125" s="47" t="str">
        <f aca="false">IFERROR(googlefinance("NSE:CUMMINSIND","price"),"–")</f>
        <v>–</v>
      </c>
      <c r="I125" s="48" t="n">
        <v>5500</v>
      </c>
      <c r="J125" s="91" t="s">
        <v>361</v>
      </c>
      <c r="K125" s="91" t="s">
        <v>361</v>
      </c>
      <c r="L125" s="50" t="n">
        <v>4750</v>
      </c>
      <c r="M125" s="77" t="s">
        <v>344</v>
      </c>
      <c r="N125" s="77" t="s">
        <v>628</v>
      </c>
      <c r="O125" s="73" t="s">
        <v>346</v>
      </c>
      <c r="P125" s="78" t="n">
        <v>0.145833</v>
      </c>
      <c r="Q125" s="79" t="s">
        <v>347</v>
      </c>
      <c r="R125" s="45" t="n">
        <v>30</v>
      </c>
      <c r="S125" s="44" t="str">
        <f aca="false">IFERROR(VLOOKUP(B125,SectorMap!A:B,2,0),"Industrials")</f>
        <v>Industrials</v>
      </c>
      <c r="T125" s="55" t="str">
        <f aca="false">IFERROR(VLOOKUP(B125,SectorMap!A:C,3,0),"Export orders")</f>
        <v>Export orders</v>
      </c>
      <c r="U125" s="80" t="s">
        <v>626</v>
      </c>
      <c r="V125" s="49" t="n">
        <v>5500</v>
      </c>
    </row>
    <row r="126" customFormat="false" ht="18.75" hidden="false" customHeight="true" outlineLevel="0" collapsed="false">
      <c r="A126" s="58" t="n">
        <v>122</v>
      </c>
      <c r="B126" s="59" t="s">
        <v>69</v>
      </c>
      <c r="C126" s="60" t="s">
        <v>629</v>
      </c>
      <c r="D126" s="61" t="s">
        <v>566</v>
      </c>
      <c r="E126" s="62" t="n">
        <v>3200</v>
      </c>
      <c r="F126" s="62" t="n">
        <v>3500</v>
      </c>
      <c r="G126" s="61" t="s">
        <v>328</v>
      </c>
      <c r="H126" s="47" t="str">
        <f aca="false">IFERROR(googlefinance("NSE:TRENT","price"),"–")</f>
        <v>–</v>
      </c>
      <c r="I126" s="63" t="n">
        <v>4000</v>
      </c>
      <c r="J126" s="64" t="n">
        <v>4500</v>
      </c>
      <c r="K126" s="64" t="n">
        <v>5000</v>
      </c>
      <c r="L126" s="65" t="n">
        <v>3000</v>
      </c>
      <c r="M126" s="72" t="s">
        <v>344</v>
      </c>
      <c r="N126" s="72" t="s">
        <v>519</v>
      </c>
      <c r="O126" s="73" t="s">
        <v>346</v>
      </c>
      <c r="P126" s="74" t="n">
        <v>0.25</v>
      </c>
      <c r="Q126" s="75" t="s">
        <v>347</v>
      </c>
      <c r="R126" s="61" t="n">
        <v>30</v>
      </c>
      <c r="S126" s="60" t="str">
        <f aca="false">IFERROR(VLOOKUP(B126,SectorMap!A:B,2,0),"Retail")</f>
        <v>Retail</v>
      </c>
      <c r="T126" s="69" t="str">
        <f aca="false">IFERROR(VLOOKUP(B126,SectorMap!A:C,3,0),"Store expansion")</f>
        <v>Store expansion</v>
      </c>
      <c r="U126" s="76" t="s">
        <v>626</v>
      </c>
      <c r="V126" s="64" t="n">
        <v>4000</v>
      </c>
    </row>
    <row r="127" customFormat="false" ht="18.75" hidden="false" customHeight="true" outlineLevel="0" collapsed="false">
      <c r="A127" s="16" t="n">
        <v>123</v>
      </c>
      <c r="B127" s="43" t="s">
        <v>72</v>
      </c>
      <c r="C127" s="44" t="s">
        <v>630</v>
      </c>
      <c r="D127" s="45" t="s">
        <v>566</v>
      </c>
      <c r="E127" s="46" t="n">
        <v>530</v>
      </c>
      <c r="F127" s="46" t="n">
        <v>540</v>
      </c>
      <c r="G127" s="45" t="s">
        <v>328</v>
      </c>
      <c r="H127" s="47" t="str">
        <f aca="false">IFERROR(googlefinance("NSE:SONACOMS","price"),"–")</f>
        <v>–</v>
      </c>
      <c r="I127" s="48" t="n">
        <v>550</v>
      </c>
      <c r="J127" s="49" t="n">
        <v>600</v>
      </c>
      <c r="K127" s="49" t="n">
        <v>650</v>
      </c>
      <c r="L127" s="50" t="n">
        <v>485</v>
      </c>
      <c r="M127" s="77" t="s">
        <v>375</v>
      </c>
      <c r="N127" s="77" t="s">
        <v>631</v>
      </c>
      <c r="O127" s="73" t="s">
        <v>346</v>
      </c>
      <c r="P127" s="78" t="n">
        <v>0.132075</v>
      </c>
      <c r="Q127" s="79" t="s">
        <v>377</v>
      </c>
      <c r="R127" s="45" t="n">
        <v>45</v>
      </c>
      <c r="S127" s="44" t="str">
        <f aca="false">IFERROR(VLOOKUP(B127,SectorMap!A:B,2,0),"Auto")</f>
        <v>Auto</v>
      </c>
      <c r="T127" s="55" t="str">
        <f aca="false">IFERROR(VLOOKUP(B127,SectorMap!A:C,3,0),"EV components")</f>
        <v>EV components</v>
      </c>
      <c r="U127" s="80" t="s">
        <v>632</v>
      </c>
      <c r="V127" s="49" t="n">
        <v>600</v>
      </c>
    </row>
    <row r="128" customFormat="false" ht="18.75" hidden="false" customHeight="true" outlineLevel="0" collapsed="false">
      <c r="A128" s="58" t="n">
        <v>124</v>
      </c>
      <c r="B128" s="59" t="s">
        <v>44</v>
      </c>
      <c r="C128" s="60" t="s">
        <v>633</v>
      </c>
      <c r="D128" s="61" t="s">
        <v>634</v>
      </c>
      <c r="E128" s="62" t="n">
        <v>3400</v>
      </c>
      <c r="F128" s="62" t="n">
        <v>3500</v>
      </c>
      <c r="G128" s="61" t="s">
        <v>328</v>
      </c>
      <c r="H128" s="47" t="str">
        <f aca="false">IFERROR(googlefinance("NSE:DATAPATTNS","price"),"–")</f>
        <v>–</v>
      </c>
      <c r="I128" s="63" t="n">
        <v>4000</v>
      </c>
      <c r="J128" s="64" t="n">
        <v>4250</v>
      </c>
      <c r="K128" s="64" t="n">
        <v>4500</v>
      </c>
      <c r="L128" s="65" t="n">
        <v>3250</v>
      </c>
      <c r="M128" s="72" t="s">
        <v>344</v>
      </c>
      <c r="N128" s="72" t="s">
        <v>635</v>
      </c>
      <c r="O128" s="73" t="s">
        <v>346</v>
      </c>
      <c r="P128" s="74" t="n">
        <v>0.176471</v>
      </c>
      <c r="Q128" s="75" t="s">
        <v>347</v>
      </c>
      <c r="R128" s="61" t="n">
        <v>30</v>
      </c>
      <c r="S128" s="60" t="str">
        <f aca="false">IFERROR(VLOOKUP(B128,SectorMap!A:B,2,0),"Defence")</f>
        <v>Defence</v>
      </c>
      <c r="T128" s="69" t="str">
        <f aca="false">IFERROR(VLOOKUP(B128,SectorMap!A:C,3,0),"DRDO orders")</f>
        <v>DRDO orders</v>
      </c>
      <c r="U128" s="76" t="s">
        <v>578</v>
      </c>
      <c r="V128" s="64" t="n">
        <v>4000</v>
      </c>
    </row>
    <row r="129" customFormat="false" ht="18.75" hidden="false" customHeight="true" outlineLevel="0" collapsed="false">
      <c r="A129" s="16" t="n">
        <v>125</v>
      </c>
      <c r="B129" s="43" t="s">
        <v>58</v>
      </c>
      <c r="C129" s="44" t="s">
        <v>636</v>
      </c>
      <c r="D129" s="45" t="s">
        <v>637</v>
      </c>
      <c r="E129" s="46" t="n">
        <v>1000</v>
      </c>
      <c r="F129" s="46" t="n">
        <v>1125</v>
      </c>
      <c r="G129" s="45" t="s">
        <v>328</v>
      </c>
      <c r="H129" s="47" t="str">
        <f aca="false">IFERROR(googlefinance("NSE:LAURUSLABS","price"),"–")</f>
        <v>–</v>
      </c>
      <c r="I129" s="48" t="n">
        <v>1175</v>
      </c>
      <c r="J129" s="49" t="n">
        <v>1200</v>
      </c>
      <c r="K129" s="49" t="n">
        <v>1225</v>
      </c>
      <c r="L129" s="50" t="n">
        <v>975</v>
      </c>
      <c r="M129" s="28" t="str">
        <f aca="false">IF(OR(H129="",H129="–"),"–",IFERROR(IF(H129&lt;L129,"🔴 SL Hit",IF(AND(ISNUMBER(K129),H129&gt;=K129),"🎯 T3 Hit — Book!",IF(AND(ISNUMBER(J129),H129&gt;=J129),"🎯 T2 Hit — Book!",IF(AND(ISNUMBER(I129),H129&gt;=I129),"🎯 T1 Hit — Book!",IF(AND(H129&gt;=E129),"🟡 In/Above Buy Zone","🔻 Below Buy Zone"))))),"-"))</f>
        <v>–</v>
      </c>
      <c r="N129" s="88" t="str">
        <f aca="false">IF(M129="🎯 T3 Hit — Book!","🏆 BOOK T3 PROFITS!",IF(M129="🎯 T2 Hit — Book!","🎯 BOOK T2 PROFITS!",IF(M129="🎯 T1 Hit — Book!","📈 BOOK T1 PROFITS!",IF(M129="🔴 SL Hit","⚠️ EXIT NOW!",IF(M129="🟡 In/Above Buy Zone","🔔 BUY NOW!","⏳ Wait")))))</f>
        <v>⏳ Wait</v>
      </c>
      <c r="O129" s="84" t="s">
        <v>362</v>
      </c>
      <c r="P129" s="89" t="str">
        <f aca="false">IF(OR(ISBLANK(H129),H129="–",NOT(ISNUMBER(H129)),E129=0),"–",(H129-E129)/E129)</f>
        <v>–</v>
      </c>
      <c r="Q129" s="90" t="s">
        <v>362</v>
      </c>
      <c r="R129" s="45" t="n">
        <v>69</v>
      </c>
      <c r="S129" s="44" t="str">
        <f aca="false">IFERROR(VLOOKUP(B129,SectorMap!A:B,2,0),"Pharma")</f>
        <v>Pharma</v>
      </c>
      <c r="T129" s="55" t="str">
        <f aca="false">IFERROR(VLOOKUP(B129,SectorMap!A:C,3,0),"CDMO ramp-up")</f>
        <v>CDMO ramp-up</v>
      </c>
      <c r="U129" s="45" t="s">
        <v>363</v>
      </c>
      <c r="V129" s="35" t="s">
        <v>361</v>
      </c>
    </row>
    <row r="130" customFormat="false" ht="18.75" hidden="false" customHeight="true" outlineLevel="0" collapsed="false">
      <c r="A130" s="58" t="n">
        <v>126</v>
      </c>
      <c r="B130" s="59" t="s">
        <v>56</v>
      </c>
      <c r="C130" s="60" t="s">
        <v>638</v>
      </c>
      <c r="D130" s="61" t="s">
        <v>581</v>
      </c>
      <c r="E130" s="62" t="n">
        <v>1000</v>
      </c>
      <c r="F130" s="62" t="n">
        <v>1040</v>
      </c>
      <c r="G130" s="61" t="s">
        <v>328</v>
      </c>
      <c r="H130" s="47" t="str">
        <f aca="false">IFERROR(googlefinance("NSE:CHENNPETRO","price"),"–")</f>
        <v>–</v>
      </c>
      <c r="I130" s="63" t="n">
        <v>1200</v>
      </c>
      <c r="J130" s="64" t="n">
        <v>1300</v>
      </c>
      <c r="K130" s="64" t="n">
        <v>1400</v>
      </c>
      <c r="L130" s="65" t="n">
        <v>950</v>
      </c>
      <c r="M130" s="72" t="s">
        <v>344</v>
      </c>
      <c r="N130" s="72" t="s">
        <v>639</v>
      </c>
      <c r="O130" s="73" t="s">
        <v>346</v>
      </c>
      <c r="P130" s="74" t="n">
        <v>0.2</v>
      </c>
      <c r="Q130" s="75" t="s">
        <v>347</v>
      </c>
      <c r="R130" s="61" t="n">
        <v>30</v>
      </c>
      <c r="S130" s="60" t="str">
        <f aca="false">IFERROR(VLOOKUP(B130,SectorMap!A:B,2,0),"Energy")</f>
        <v>Energy</v>
      </c>
      <c r="T130" s="69" t="str">
        <f aca="false">IFERROR(VLOOKUP(B130,SectorMap!A:C,3,0),"Refining margins")</f>
        <v>Refining margins</v>
      </c>
      <c r="U130" s="76" t="s">
        <v>614</v>
      </c>
      <c r="V130" s="64" t="n">
        <v>1200</v>
      </c>
    </row>
    <row r="131" customFormat="false" ht="18.75" hidden="false" customHeight="true" outlineLevel="0" collapsed="false">
      <c r="A131" s="16" t="n">
        <v>127</v>
      </c>
      <c r="B131" s="43" t="s">
        <v>51</v>
      </c>
      <c r="C131" s="44" t="s">
        <v>640</v>
      </c>
      <c r="D131" s="45" t="s">
        <v>584</v>
      </c>
      <c r="E131" s="46" t="n">
        <v>900</v>
      </c>
      <c r="F131" s="46" t="n">
        <v>990</v>
      </c>
      <c r="G131" s="45" t="s">
        <v>328</v>
      </c>
      <c r="H131" s="47" t="str">
        <f aca="false">IFERROR(googlefinance("NSE:UTIAMC","price"),"–")</f>
        <v>–</v>
      </c>
      <c r="I131" s="48" t="n">
        <v>1250</v>
      </c>
      <c r="J131" s="49" t="n">
        <v>1350</v>
      </c>
      <c r="K131" s="49" t="n">
        <v>1500</v>
      </c>
      <c r="L131" s="50" t="n">
        <v>700</v>
      </c>
      <c r="M131" s="28" t="str">
        <f aca="false">IF(OR(H131="",H131="–"),"–",IFERROR(IF(H131&lt;L131,"🔴 SL Hit",IF(AND(ISNUMBER(K131),H131&gt;=K131),"🎯 T3 Hit — Book!",IF(AND(ISNUMBER(J131),H131&gt;=J131),"🎯 T2 Hit — Book!",IF(AND(ISNUMBER(I131),H131&gt;=I131),"🎯 T1 Hit — Book!",IF(AND(H131&gt;=E131),"🟡 In/Above Buy Zone","🔻 Below Buy Zone"))))),"-"))</f>
        <v>–</v>
      </c>
      <c r="N131" s="88" t="str">
        <f aca="false">IF(M131="🎯 T3 Hit — Book!","🏆 BOOK T3 PROFITS!",IF(M131="🎯 T2 Hit — Book!","🎯 BOOK T2 PROFITS!",IF(M131="🎯 T1 Hit — Book!","📈 BOOK T1 PROFITS!",IF(M131="🔴 SL Hit","⚠️ EXIT NOW!",IF(M131="🟡 In/Above Buy Zone","🔔 BUY NOW!","⏳ Wait")))))</f>
        <v>⏳ Wait</v>
      </c>
      <c r="O131" s="84" t="s">
        <v>362</v>
      </c>
      <c r="P131" s="89" t="str">
        <f aca="false">IF(OR(ISBLANK(H131),H131="–",NOT(ISNUMBER(H131)),E131=0),"–",(H131-E131)/E131)</f>
        <v>–</v>
      </c>
      <c r="Q131" s="90" t="s">
        <v>362</v>
      </c>
      <c r="R131" s="45" t="n">
        <v>67</v>
      </c>
      <c r="S131" s="44" t="str">
        <f aca="false">IFERROR(VLOOKUP(B131,SectorMap!A:B,2,0),"AMC")</f>
        <v>AMC</v>
      </c>
      <c r="T131" s="55" t="str">
        <f aca="false">IFERROR(VLOOKUP(B131,SectorMap!A:C,3,0),"SIP growth")</f>
        <v>SIP growth</v>
      </c>
      <c r="U131" s="45" t="s">
        <v>363</v>
      </c>
      <c r="V131" s="35" t="s">
        <v>361</v>
      </c>
    </row>
    <row r="132" customFormat="false" ht="18.75" hidden="false" customHeight="true" outlineLevel="0" collapsed="false">
      <c r="A132" s="58" t="n">
        <v>128</v>
      </c>
      <c r="B132" s="59" t="s">
        <v>54</v>
      </c>
      <c r="C132" s="60" t="s">
        <v>641</v>
      </c>
      <c r="D132" s="61" t="s">
        <v>584</v>
      </c>
      <c r="E132" s="62" t="n">
        <v>285</v>
      </c>
      <c r="F132" s="62" t="n">
        <v>290</v>
      </c>
      <c r="G132" s="61" t="s">
        <v>328</v>
      </c>
      <c r="H132" s="47" t="str">
        <f aca="false">IFERROR(googlefinance("NSE:APOLLOMICR","price"),"–")</f>
        <v>–</v>
      </c>
      <c r="I132" s="63" t="n">
        <v>330</v>
      </c>
      <c r="J132" s="64" t="n">
        <v>350</v>
      </c>
      <c r="K132" s="64" t="n">
        <v>360</v>
      </c>
      <c r="L132" s="65" t="n">
        <v>275</v>
      </c>
      <c r="M132" s="72" t="s">
        <v>344</v>
      </c>
      <c r="N132" s="72" t="s">
        <v>642</v>
      </c>
      <c r="O132" s="73" t="s">
        <v>346</v>
      </c>
      <c r="P132" s="74" t="n">
        <v>0.157895</v>
      </c>
      <c r="Q132" s="75" t="s">
        <v>347</v>
      </c>
      <c r="R132" s="61" t="n">
        <v>30</v>
      </c>
      <c r="S132" s="60" t="str">
        <f aca="false">IFERROR(VLOOKUP(B132,SectorMap!A:B,2,0),"Defence")</f>
        <v>Defence</v>
      </c>
      <c r="T132" s="69" t="str">
        <f aca="false">IFERROR(VLOOKUP(B132,SectorMap!A:C,3,0),"Defence exports")</f>
        <v>Defence exports</v>
      </c>
      <c r="U132" s="76" t="s">
        <v>643</v>
      </c>
      <c r="V132" s="64" t="n">
        <v>330</v>
      </c>
    </row>
    <row r="133" customFormat="false" ht="18.75" hidden="false" customHeight="true" outlineLevel="0" collapsed="false">
      <c r="A133" s="16" t="n">
        <v>129</v>
      </c>
      <c r="B133" s="43" t="s">
        <v>48</v>
      </c>
      <c r="C133" s="44" t="s">
        <v>644</v>
      </c>
      <c r="D133" s="45" t="s">
        <v>645</v>
      </c>
      <c r="E133" s="46" t="n">
        <v>156</v>
      </c>
      <c r="F133" s="46" t="n">
        <v>159</v>
      </c>
      <c r="G133" s="45" t="s">
        <v>328</v>
      </c>
      <c r="H133" s="47" t="str">
        <f aca="false">IFERROR(googlefinance("NSE:BIRLACABLE","price"),"–")</f>
        <v>–</v>
      </c>
      <c r="I133" s="48" t="n">
        <v>166</v>
      </c>
      <c r="J133" s="49" t="n">
        <v>172</v>
      </c>
      <c r="K133" s="49" t="n">
        <v>180</v>
      </c>
      <c r="L133" s="50" t="n">
        <v>155</v>
      </c>
      <c r="M133" s="28" t="str">
        <f aca="false">IF(OR(H133="",H133="–"),"–",IFERROR(IF(H133&lt;L133,"🔴 SL Hit",IF(AND(ISNUMBER(K133),H133&gt;=K133),"🎯 T3 Hit — Book!",IF(AND(ISNUMBER(J133),H133&gt;=J133),"🎯 T2 Hit — Book!",IF(AND(ISNUMBER(I133),H133&gt;=I133),"🎯 T1 Hit — Book!",IF(AND(H133&gt;=E133),"🟡 In/Above Buy Zone","🔻 Below Buy Zone"))))),"-"))</f>
        <v>–</v>
      </c>
      <c r="N133" s="88" t="str">
        <f aca="false">IF(M133="🎯 T3 Hit — Book!","🏆 BOOK T3 PROFITS!",IF(M133="🎯 T2 Hit — Book!","🎯 BOOK T2 PROFITS!",IF(M133="🎯 T1 Hit — Book!","📈 BOOK T1 PROFITS!",IF(M133="🔴 SL Hit","⚠️ EXIT NOW!",IF(M133="🟡 In/Above Buy Zone","🔔 BUY NOW!","⏳ Wait")))))</f>
        <v>⏳ Wait</v>
      </c>
      <c r="O133" s="84" t="s">
        <v>362</v>
      </c>
      <c r="P133" s="89" t="str">
        <f aca="false">IF(OR(ISBLANK(H133),H133="–",NOT(ISNUMBER(H133)),E133=0),"–",(H133-E133)/E133)</f>
        <v>–</v>
      </c>
      <c r="Q133" s="90" t="s">
        <v>362</v>
      </c>
      <c r="R133" s="45" t="n">
        <v>66</v>
      </c>
      <c r="S133" s="44" t="str">
        <f aca="false">IFERROR(VLOOKUP(B133,SectorMap!A:B,2,0),"Telecom")</f>
        <v>Telecom</v>
      </c>
      <c r="T133" s="55" t="str">
        <f aca="false">IFERROR(VLOOKUP(B133,SectorMap!A:C,3,0),"Infra build-out")</f>
        <v>Infra build-out</v>
      </c>
      <c r="U133" s="45" t="s">
        <v>363</v>
      </c>
      <c r="V133" s="35" t="s">
        <v>361</v>
      </c>
    </row>
    <row r="134" customFormat="false" ht="18.75" hidden="false" customHeight="true" outlineLevel="0" collapsed="false">
      <c r="A134" s="58" t="n">
        <v>130</v>
      </c>
      <c r="B134" s="59" t="s">
        <v>46</v>
      </c>
      <c r="C134" s="60" t="s">
        <v>646</v>
      </c>
      <c r="D134" s="61" t="s">
        <v>542</v>
      </c>
      <c r="E134" s="62" t="n">
        <v>170</v>
      </c>
      <c r="F134" s="62" t="n">
        <v>171</v>
      </c>
      <c r="G134" s="61" t="s">
        <v>328</v>
      </c>
      <c r="H134" s="47" t="str">
        <f aca="false">IFERROR(googlefinance("NSE:MEESHO","price"),"–")</f>
        <v>–</v>
      </c>
      <c r="I134" s="63" t="n">
        <v>185</v>
      </c>
      <c r="J134" s="64" t="n">
        <v>190</v>
      </c>
      <c r="K134" s="64" t="n">
        <v>200</v>
      </c>
      <c r="L134" s="65" t="n">
        <v>165</v>
      </c>
      <c r="M134" s="72" t="s">
        <v>375</v>
      </c>
      <c r="N134" s="72" t="s">
        <v>486</v>
      </c>
      <c r="O134" s="73" t="s">
        <v>346</v>
      </c>
      <c r="P134" s="74" t="n">
        <v>0.117647</v>
      </c>
      <c r="Q134" s="75" t="s">
        <v>377</v>
      </c>
      <c r="R134" s="61" t="n">
        <v>45</v>
      </c>
      <c r="S134" s="60" t="str">
        <f aca="false">IFERROR(VLOOKUP(B134,SectorMap!A:B,2,0),"Consumer")</f>
        <v>Consumer</v>
      </c>
      <c r="T134" s="69" t="str">
        <f aca="false">IFERROR(VLOOKUP(B134,SectorMap!A:C,3,0),"Quick commerce")</f>
        <v>Quick commerce</v>
      </c>
      <c r="U134" s="76" t="s">
        <v>647</v>
      </c>
      <c r="V134" s="64" t="n">
        <v>190</v>
      </c>
    </row>
    <row r="135" customFormat="false" ht="18.75" hidden="false" customHeight="true" outlineLevel="0" collapsed="false">
      <c r="A135" s="16" t="n">
        <v>131</v>
      </c>
      <c r="B135" s="43" t="s">
        <v>9</v>
      </c>
      <c r="C135" s="44" t="s">
        <v>326</v>
      </c>
      <c r="D135" s="45" t="s">
        <v>571</v>
      </c>
      <c r="E135" s="46" t="n">
        <v>725</v>
      </c>
      <c r="F135" s="46" t="n">
        <v>750</v>
      </c>
      <c r="G135" s="45" t="s">
        <v>328</v>
      </c>
      <c r="H135" s="47" t="str">
        <f aca="false">IFERROR(googlefinance("NSE:HDFCBANK","price"),"–")</f>
        <v>–</v>
      </c>
      <c r="I135" s="48" t="n">
        <v>800</v>
      </c>
      <c r="J135" s="49" t="n">
        <v>825</v>
      </c>
      <c r="K135" s="49" t="n">
        <v>850</v>
      </c>
      <c r="L135" s="50" t="n">
        <v>740</v>
      </c>
      <c r="M135" s="77" t="s">
        <v>344</v>
      </c>
      <c r="N135" s="77" t="s">
        <v>648</v>
      </c>
      <c r="O135" s="73" t="s">
        <v>346</v>
      </c>
      <c r="P135" s="78" t="n">
        <v>0.103448</v>
      </c>
      <c r="Q135" s="79" t="s">
        <v>347</v>
      </c>
      <c r="R135" s="45" t="n">
        <v>30</v>
      </c>
      <c r="S135" s="44" t="str">
        <f aca="false">IFERROR(VLOOKUP(B135,SectorMap!A:B,2,0),"Banking")</f>
        <v>Banking</v>
      </c>
      <c r="T135" s="55" t="str">
        <f aca="false">IFERROR(VLOOKUP(B135,SectorMap!A:C,3,0),"Strong AUM")</f>
        <v>Strong AUM</v>
      </c>
      <c r="U135" s="80" t="s">
        <v>649</v>
      </c>
      <c r="V135" s="49" t="n">
        <v>800</v>
      </c>
    </row>
    <row r="136" customFormat="false" ht="18.75" hidden="false" customHeight="true" outlineLevel="0" collapsed="false">
      <c r="A136" s="58" t="n">
        <v>132</v>
      </c>
      <c r="B136" s="59" t="s">
        <v>34</v>
      </c>
      <c r="C136" s="60" t="s">
        <v>650</v>
      </c>
      <c r="D136" s="61" t="s">
        <v>607</v>
      </c>
      <c r="E136" s="62" t="n">
        <v>14</v>
      </c>
      <c r="F136" s="62" t="n">
        <v>14</v>
      </c>
      <c r="G136" s="61" t="s">
        <v>328</v>
      </c>
      <c r="H136" s="47" t="str">
        <f aca="false">IFERROR(googlefinance("NSE:JPPOWER","price"),"–")</f>
        <v>–</v>
      </c>
      <c r="I136" s="63" t="n">
        <v>25</v>
      </c>
      <c r="J136" s="64" t="n">
        <v>27.5</v>
      </c>
      <c r="K136" s="64" t="n">
        <v>30</v>
      </c>
      <c r="L136" s="65" t="n">
        <v>12</v>
      </c>
      <c r="M136" s="72" t="s">
        <v>351</v>
      </c>
      <c r="N136" s="72" t="s">
        <v>651</v>
      </c>
      <c r="O136" s="73" t="s">
        <v>346</v>
      </c>
      <c r="P136" s="74" t="n">
        <v>1.142857</v>
      </c>
      <c r="Q136" s="75" t="s">
        <v>353</v>
      </c>
      <c r="R136" s="61" t="n">
        <v>60</v>
      </c>
      <c r="S136" s="60" t="str">
        <f aca="false">IFERROR(VLOOKUP(B136,SectorMap!A:B,2,0),"Power")</f>
        <v>Power</v>
      </c>
      <c r="T136" s="69" t="str">
        <f aca="false">IFERROR(VLOOKUP(B136,SectorMap!A:C,3,0),"PSU re-rating")</f>
        <v>PSU re-rating</v>
      </c>
      <c r="U136" s="76" t="s">
        <v>652</v>
      </c>
      <c r="V136" s="64" t="n">
        <v>30</v>
      </c>
    </row>
    <row r="137" customFormat="false" ht="18.75" hidden="false" customHeight="true" outlineLevel="0" collapsed="false">
      <c r="A137" s="16" t="n">
        <v>133</v>
      </c>
      <c r="B137" s="43" t="s">
        <v>42</v>
      </c>
      <c r="C137" s="44" t="s">
        <v>653</v>
      </c>
      <c r="D137" s="45" t="s">
        <v>607</v>
      </c>
      <c r="E137" s="46" t="n">
        <v>1150</v>
      </c>
      <c r="F137" s="46" t="n">
        <v>1250</v>
      </c>
      <c r="G137" s="45" t="s">
        <v>328</v>
      </c>
      <c r="H137" s="47" t="str">
        <f aca="false">IFERROR(googlefinance("NSE:ADANIENSOL","price"),"–")</f>
        <v>–</v>
      </c>
      <c r="I137" s="48" t="n">
        <v>1500</v>
      </c>
      <c r="J137" s="49" t="n">
        <v>1750</v>
      </c>
      <c r="K137" s="49" t="n">
        <v>2000</v>
      </c>
      <c r="L137" s="50" t="n">
        <v>600</v>
      </c>
      <c r="M137" s="28" t="str">
        <f aca="false">IF(OR(H137="",H137="–"),"–",IFERROR(IF(H137&lt;L137,"🔴 SL Hit",IF(AND(ISNUMBER(K137),H137&gt;=K137),"🎯 T3 Hit — Book!",IF(AND(ISNUMBER(J137),H137&gt;=J137),"🎯 T2 Hit — Book!",IF(AND(ISNUMBER(I137),H137&gt;=I137),"🎯 T1 Hit — Book!",IF(AND(H137&gt;=E137),"🟡 In/Above Buy Zone","🔻 Below Buy Zone"))))),"-"))</f>
        <v>–</v>
      </c>
      <c r="N137" s="88" t="str">
        <f aca="false">IF(M137="🎯 T3 Hit — Book!","🏆 BOOK T3 PROFITS!",IF(M137="🎯 T2 Hit — Book!","🎯 BOOK T2 PROFITS!",IF(M137="🎯 T1 Hit — Book!","📈 BOOK T1 PROFITS!",IF(M137="🔴 SL Hit","⚠️ EXIT NOW!",IF(M137="🟡 In/Above Buy Zone","🔔 BUY NOW!","⏳ Wait")))))</f>
        <v>⏳ Wait</v>
      </c>
      <c r="O137" s="84" t="s">
        <v>362</v>
      </c>
      <c r="P137" s="89" t="str">
        <f aca="false">IF(OR(ISBLANK(H137),H137="–",NOT(ISNUMBER(H137)),E137=0),"–",(H137-E137)/E137)</f>
        <v>–</v>
      </c>
      <c r="Q137" s="90" t="s">
        <v>362</v>
      </c>
      <c r="R137" s="45" t="n">
        <v>57</v>
      </c>
      <c r="S137" s="44" t="str">
        <f aca="false">IFERROR(VLOOKUP(B137,SectorMap!A:B,2,0),"Power")</f>
        <v>Power</v>
      </c>
      <c r="T137" s="55" t="str">
        <f aca="false">IFERROR(VLOOKUP(B137,SectorMap!A:C,3,0),"Capex cycle")</f>
        <v>Capex cycle</v>
      </c>
      <c r="U137" s="45" t="s">
        <v>363</v>
      </c>
      <c r="V137" s="35" t="s">
        <v>361</v>
      </c>
    </row>
    <row r="138" customFormat="false" ht="18.75" hidden="false" customHeight="true" outlineLevel="0" collapsed="false">
      <c r="A138" s="93"/>
      <c r="B138" s="55" t="s">
        <v>654</v>
      </c>
      <c r="C138" s="93"/>
      <c r="D138" s="93"/>
      <c r="E138" s="93"/>
      <c r="F138" s="93"/>
      <c r="G138" s="45" t="s">
        <v>328</v>
      </c>
      <c r="H138" s="94" t="str">
        <f aca="false">IF(OR(ISBLANK(B138),B138="← Add ticker"),"–",IFERROR(googlefinance("NSE:"&amp;B138,"price"),"–"))</f>
        <v>–</v>
      </c>
      <c r="I138" s="93"/>
      <c r="J138" s="93"/>
      <c r="K138" s="93"/>
      <c r="L138" s="93"/>
      <c r="M138" s="28" t="str">
        <f aca="false">IF(OR(ISBLANK(B138),B138="← Add ticker"),"–",IF(OR(H138="–",NOT(ISNUMBER(H138))),"–",IF(H138&lt;L138,"🔴 SL Hit",IF(AND(ISNUMBER(K138),H138&gt;=K138),"🎯 T3 Hit — Book!",IF(AND(ISNUMBER(J138),H138&gt;=J138),"🎯 T2 Hit — Book!",IF(AND(ISNUMBER(I138),H138&gt;=I138),"🎯 T1 Hit — Book!",IF(AND(ISNUMBER(E138),H138&gt;=E138),"🟡 In/Above Buy Zone","🔻 Below Buy Zone")))))))</f>
        <v>–</v>
      </c>
      <c r="N138" s="88" t="str">
        <f aca="false">IF(M138="🎯 T3 Hit — Book!","🏆 BOOK T3!",IF(M138="🎯 T2 Hit — Book!","🎯 BOOK T2!",IF(M138="🎯 T1 Hit — Book!","📈 BOOK T1!",IF(M138="🔴 SL Hit","⚠️ EXIT NOW!",IF(M138="🟡 In/Above Buy Zone","🔔 BUY NOW!","–")))))</f>
        <v>–</v>
      </c>
      <c r="O138" s="84" t="s">
        <v>362</v>
      </c>
      <c r="P138" s="95" t="str">
        <f aca="false">IF(OR(ISBLANK(H138),H138="–",NOT(ISNUMBER(H138)),E138=0),"–",(H138-E138)/E138)</f>
        <v>–</v>
      </c>
      <c r="Q138" s="93"/>
      <c r="R138" s="93"/>
      <c r="S138" s="44" t="str">
        <f aca="false">IFERROR(VLOOKUP(B138,SectorMap!A:B,2,0),"–")</f>
        <v>–</v>
      </c>
      <c r="T138" s="55" t="str">
        <f aca="false">IFERROR(VLOOKUP(B138,SectorMap!A:C,3,0),"–")</f>
        <v>–</v>
      </c>
      <c r="U138" s="93"/>
      <c r="V138" s="93"/>
    </row>
    <row r="139" customFormat="false" ht="18.75" hidden="false" customHeight="true" outlineLevel="0" collapsed="false">
      <c r="A139" s="96"/>
      <c r="B139" s="69" t="s">
        <v>654</v>
      </c>
      <c r="C139" s="96"/>
      <c r="D139" s="96"/>
      <c r="E139" s="96"/>
      <c r="F139" s="96"/>
      <c r="G139" s="61" t="s">
        <v>328</v>
      </c>
      <c r="H139" s="94" t="str">
        <f aca="false">IF(OR(ISBLANK(B139),B139="← Add ticker"),"–",IFERROR(googlefinance("NSE:"&amp;B139,"price"),"–"))</f>
        <v>–</v>
      </c>
      <c r="I139" s="96"/>
      <c r="J139" s="96"/>
      <c r="K139" s="96"/>
      <c r="L139" s="96"/>
      <c r="M139" s="82" t="str">
        <f aca="false">IF(OR(ISBLANK(B139),B139="← Add ticker"),"–",IF(OR(H139="–",NOT(ISNUMBER(H139))),"–",IF(H139&lt;L139,"🔴 SL Hit",IF(AND(ISNUMBER(K139),H139&gt;=K139),"🎯 T3 Hit — Book!",IF(AND(ISNUMBER(J139),H139&gt;=J139),"🎯 T2 Hit — Book!",IF(AND(ISNUMBER(I139),H139&gt;=I139),"🎯 T1 Hit — Book!",IF(AND(ISNUMBER(E139),H139&gt;=E139),"🟡 In/Above Buy Zone","🔻 Below Buy Zone")))))))</f>
        <v>–</v>
      </c>
      <c r="N139" s="83" t="str">
        <f aca="false">IF(M139="🎯 T3 Hit — Book!","🏆 BOOK T3!",IF(M139="🎯 T2 Hit — Book!","🎯 BOOK T2!",IF(M139="🎯 T1 Hit — Book!","📈 BOOK T1!",IF(M139="🔴 SL Hit","⚠️ EXIT NOW!",IF(M139="🟡 In/Above Buy Zone","🔔 BUY NOW!","–")))))</f>
        <v>–</v>
      </c>
      <c r="O139" s="84" t="s">
        <v>362</v>
      </c>
      <c r="P139" s="97" t="str">
        <f aca="false">IF(OR(ISBLANK(H139),H139="–",NOT(ISNUMBER(H139)),E139=0),"–",(H139-E139)/E139)</f>
        <v>–</v>
      </c>
      <c r="Q139" s="96"/>
      <c r="R139" s="96"/>
      <c r="S139" s="60" t="str">
        <f aca="false">IFERROR(VLOOKUP(B139,SectorMap!A:B,2,0),"–")</f>
        <v>–</v>
      </c>
      <c r="T139" s="69" t="str">
        <f aca="false">IFERROR(VLOOKUP(B139,SectorMap!A:C,3,0),"–")</f>
        <v>–</v>
      </c>
      <c r="U139" s="96"/>
      <c r="V139" s="96"/>
    </row>
    <row r="140" customFormat="false" ht="18.75" hidden="false" customHeight="true" outlineLevel="0" collapsed="false">
      <c r="A140" s="93"/>
      <c r="B140" s="55" t="s">
        <v>654</v>
      </c>
      <c r="C140" s="93"/>
      <c r="D140" s="93"/>
      <c r="E140" s="93"/>
      <c r="F140" s="93"/>
      <c r="G140" s="45" t="s">
        <v>328</v>
      </c>
      <c r="H140" s="94" t="str">
        <f aca="false">IF(OR(ISBLANK(B140),B140="← Add ticker"),"–",IFERROR(googlefinance("NSE:"&amp;B140,"price"),"–"))</f>
        <v>–</v>
      </c>
      <c r="I140" s="93"/>
      <c r="J140" s="93"/>
      <c r="K140" s="93"/>
      <c r="L140" s="93"/>
      <c r="M140" s="28" t="str">
        <f aca="false">IF(OR(ISBLANK(B140),B140="← Add ticker"),"–",IF(OR(H140="–",NOT(ISNUMBER(H140))),"–",IF(H140&lt;L140,"🔴 SL Hit",IF(AND(ISNUMBER(K140),H140&gt;=K140),"🎯 T3 Hit — Book!",IF(AND(ISNUMBER(J140),H140&gt;=J140),"🎯 T2 Hit — Book!",IF(AND(ISNUMBER(I140),H140&gt;=I140),"🎯 T1 Hit — Book!",IF(AND(ISNUMBER(E140),H140&gt;=E140),"🟡 In/Above Buy Zone","🔻 Below Buy Zone")))))))</f>
        <v>–</v>
      </c>
      <c r="N140" s="88" t="str">
        <f aca="false">IF(M140="🎯 T3 Hit — Book!","🏆 BOOK T3!",IF(M140="🎯 T2 Hit — Book!","🎯 BOOK T2!",IF(M140="🎯 T1 Hit — Book!","📈 BOOK T1!",IF(M140="🔴 SL Hit","⚠️ EXIT NOW!",IF(M140="🟡 In/Above Buy Zone","🔔 BUY NOW!","–")))))</f>
        <v>–</v>
      </c>
      <c r="O140" s="84" t="s">
        <v>362</v>
      </c>
      <c r="P140" s="95" t="str">
        <f aca="false">IF(OR(ISBLANK(H140),H140="–",NOT(ISNUMBER(H140)),E140=0),"–",(H140-E140)/E140)</f>
        <v>–</v>
      </c>
      <c r="Q140" s="93"/>
      <c r="R140" s="93"/>
      <c r="S140" s="44" t="str">
        <f aca="false">IFERROR(VLOOKUP(B140,SectorMap!A:B,2,0),"–")</f>
        <v>–</v>
      </c>
      <c r="T140" s="55" t="str">
        <f aca="false">IFERROR(VLOOKUP(B140,SectorMap!A:C,3,0),"–")</f>
        <v>–</v>
      </c>
      <c r="U140" s="93"/>
      <c r="V140" s="93"/>
    </row>
    <row r="141" customFormat="false" ht="18.75" hidden="false" customHeight="true" outlineLevel="0" collapsed="false">
      <c r="A141" s="96"/>
      <c r="B141" s="69" t="s">
        <v>654</v>
      </c>
      <c r="C141" s="96"/>
      <c r="D141" s="96"/>
      <c r="E141" s="96"/>
      <c r="F141" s="96"/>
      <c r="G141" s="61" t="s">
        <v>328</v>
      </c>
      <c r="H141" s="94" t="str">
        <f aca="false">IF(OR(ISBLANK(B141),B141="← Add ticker"),"–",IFERROR(googlefinance("NSE:"&amp;B141,"price"),"–"))</f>
        <v>–</v>
      </c>
      <c r="I141" s="96"/>
      <c r="J141" s="96"/>
      <c r="K141" s="96"/>
      <c r="L141" s="96"/>
      <c r="M141" s="82" t="str">
        <f aca="false">IF(OR(ISBLANK(B141),B141="← Add ticker"),"–",IF(OR(H141="–",NOT(ISNUMBER(H141))),"–",IF(H141&lt;L141,"🔴 SL Hit",IF(AND(ISNUMBER(K141),H141&gt;=K141),"🎯 T3 Hit — Book!",IF(AND(ISNUMBER(J141),H141&gt;=J141),"🎯 T2 Hit — Book!",IF(AND(ISNUMBER(I141),H141&gt;=I141),"🎯 T1 Hit — Book!",IF(AND(ISNUMBER(E141),H141&gt;=E141),"🟡 In/Above Buy Zone","🔻 Below Buy Zone")))))))</f>
        <v>–</v>
      </c>
      <c r="N141" s="83" t="str">
        <f aca="false">IF(M141="🎯 T3 Hit — Book!","🏆 BOOK T3!",IF(M141="🎯 T2 Hit — Book!","🎯 BOOK T2!",IF(M141="🎯 T1 Hit — Book!","📈 BOOK T1!",IF(M141="🔴 SL Hit","⚠️ EXIT NOW!",IF(M141="🟡 In/Above Buy Zone","🔔 BUY NOW!","–")))))</f>
        <v>–</v>
      </c>
      <c r="O141" s="84" t="s">
        <v>362</v>
      </c>
      <c r="P141" s="97" t="str">
        <f aca="false">IF(OR(ISBLANK(H141),H141="–",NOT(ISNUMBER(H141)),E141=0),"–",(H141-E141)/E141)</f>
        <v>–</v>
      </c>
      <c r="Q141" s="96"/>
      <c r="R141" s="96"/>
      <c r="S141" s="60" t="str">
        <f aca="false">IFERROR(VLOOKUP(B141,SectorMap!A:B,2,0),"–")</f>
        <v>–</v>
      </c>
      <c r="T141" s="69" t="str">
        <f aca="false">IFERROR(VLOOKUP(B141,SectorMap!A:C,3,0),"–")</f>
        <v>–</v>
      </c>
      <c r="U141" s="96"/>
      <c r="V141" s="96"/>
    </row>
    <row r="142" customFormat="false" ht="18.75" hidden="false" customHeight="true" outlineLevel="0" collapsed="false">
      <c r="A142" s="93"/>
      <c r="B142" s="55" t="s">
        <v>654</v>
      </c>
      <c r="C142" s="93"/>
      <c r="D142" s="93"/>
      <c r="E142" s="93"/>
      <c r="F142" s="93"/>
      <c r="G142" s="45" t="s">
        <v>328</v>
      </c>
      <c r="H142" s="94" t="str">
        <f aca="false">IF(OR(ISBLANK(B142),B142="← Add ticker"),"–",IFERROR(googlefinance("NSE:"&amp;B142,"price"),"–"))</f>
        <v>–</v>
      </c>
      <c r="I142" s="93"/>
      <c r="J142" s="93"/>
      <c r="K142" s="93"/>
      <c r="L142" s="93"/>
      <c r="M142" s="28" t="str">
        <f aca="false">IF(OR(ISBLANK(B142),B142="← Add ticker"),"–",IF(OR(H142="–",NOT(ISNUMBER(H142))),"–",IF(H142&lt;L142,"🔴 SL Hit",IF(AND(ISNUMBER(K142),H142&gt;=K142),"🎯 T3 Hit — Book!",IF(AND(ISNUMBER(J142),H142&gt;=J142),"🎯 T2 Hit — Book!",IF(AND(ISNUMBER(I142),H142&gt;=I142),"🎯 T1 Hit — Book!",IF(AND(ISNUMBER(E142),H142&gt;=E142),"🟡 In/Above Buy Zone","🔻 Below Buy Zone")))))))</f>
        <v>–</v>
      </c>
      <c r="N142" s="88" t="str">
        <f aca="false">IF(M142="🎯 T3 Hit — Book!","🏆 BOOK T3!",IF(M142="🎯 T2 Hit — Book!","🎯 BOOK T2!",IF(M142="🎯 T1 Hit — Book!","📈 BOOK T1!",IF(M142="🔴 SL Hit","⚠️ EXIT NOW!",IF(M142="🟡 In/Above Buy Zone","🔔 BUY NOW!","–")))))</f>
        <v>–</v>
      </c>
      <c r="O142" s="84" t="s">
        <v>362</v>
      </c>
      <c r="P142" s="95" t="str">
        <f aca="false">IF(OR(ISBLANK(H142),H142="–",NOT(ISNUMBER(H142)),E142=0),"–",(H142-E142)/E142)</f>
        <v>–</v>
      </c>
      <c r="Q142" s="93"/>
      <c r="R142" s="93"/>
      <c r="S142" s="44" t="str">
        <f aca="false">IFERROR(VLOOKUP(B142,SectorMap!A:B,2,0),"–")</f>
        <v>–</v>
      </c>
      <c r="T142" s="55" t="str">
        <f aca="false">IFERROR(VLOOKUP(B142,SectorMap!A:C,3,0),"–")</f>
        <v>–</v>
      </c>
      <c r="U142" s="93"/>
      <c r="V142" s="93"/>
    </row>
    <row r="143" customFormat="false" ht="18.75" hidden="false" customHeight="true" outlineLevel="0" collapsed="false">
      <c r="A143" s="96"/>
      <c r="B143" s="69" t="s">
        <v>654</v>
      </c>
      <c r="C143" s="96"/>
      <c r="D143" s="96"/>
      <c r="E143" s="96"/>
      <c r="F143" s="96"/>
      <c r="G143" s="61" t="s">
        <v>328</v>
      </c>
      <c r="H143" s="94" t="str">
        <f aca="false">IF(OR(ISBLANK(B143),B143="← Add ticker"),"–",IFERROR(googlefinance("NSE:"&amp;B143,"price"),"–"))</f>
        <v>–</v>
      </c>
      <c r="I143" s="96"/>
      <c r="J143" s="96"/>
      <c r="K143" s="96"/>
      <c r="L143" s="96"/>
      <c r="M143" s="82" t="str">
        <f aca="false">IF(OR(ISBLANK(B143),B143="← Add ticker"),"–",IF(OR(H143="–",NOT(ISNUMBER(H143))),"–",IF(H143&lt;L143,"🔴 SL Hit",IF(AND(ISNUMBER(K143),H143&gt;=K143),"🎯 T3 Hit — Book!",IF(AND(ISNUMBER(J143),H143&gt;=J143),"🎯 T2 Hit — Book!",IF(AND(ISNUMBER(I143),H143&gt;=I143),"🎯 T1 Hit — Book!",IF(AND(ISNUMBER(E143),H143&gt;=E143),"🟡 In/Above Buy Zone","🔻 Below Buy Zone")))))))</f>
        <v>–</v>
      </c>
      <c r="N143" s="83" t="str">
        <f aca="false">IF(M143="🎯 T3 Hit — Book!","🏆 BOOK T3!",IF(M143="🎯 T2 Hit — Book!","🎯 BOOK T2!",IF(M143="🎯 T1 Hit — Book!","📈 BOOK T1!",IF(M143="🔴 SL Hit","⚠️ EXIT NOW!",IF(M143="🟡 In/Above Buy Zone","🔔 BUY NOW!","–")))))</f>
        <v>–</v>
      </c>
      <c r="O143" s="84" t="s">
        <v>362</v>
      </c>
      <c r="P143" s="97" t="str">
        <f aca="false">IF(OR(ISBLANK(H143),H143="–",NOT(ISNUMBER(H143)),E143=0),"–",(H143-E143)/E143)</f>
        <v>–</v>
      </c>
      <c r="Q143" s="96"/>
      <c r="R143" s="96"/>
      <c r="S143" s="60" t="str">
        <f aca="false">IFERROR(VLOOKUP(B143,SectorMap!A:B,2,0),"–")</f>
        <v>–</v>
      </c>
      <c r="T143" s="69" t="str">
        <f aca="false">IFERROR(VLOOKUP(B143,SectorMap!A:C,3,0),"–")</f>
        <v>–</v>
      </c>
      <c r="U143" s="96"/>
      <c r="V143" s="96"/>
    </row>
    <row r="144" customFormat="false" ht="18.75" hidden="false" customHeight="true" outlineLevel="0" collapsed="false">
      <c r="A144" s="93"/>
      <c r="B144" s="55" t="s">
        <v>654</v>
      </c>
      <c r="C144" s="93"/>
      <c r="D144" s="93"/>
      <c r="E144" s="93"/>
      <c r="F144" s="93"/>
      <c r="G144" s="45" t="s">
        <v>328</v>
      </c>
      <c r="H144" s="94" t="str">
        <f aca="false">IF(OR(ISBLANK(B144),B144="← Add ticker"),"–",IFERROR(googlefinance("NSE:"&amp;B144,"price"),"–"))</f>
        <v>–</v>
      </c>
      <c r="I144" s="93"/>
      <c r="J144" s="93"/>
      <c r="K144" s="93"/>
      <c r="L144" s="93"/>
      <c r="M144" s="28" t="str">
        <f aca="false">IF(OR(ISBLANK(B144),B144="← Add ticker"),"–",IF(OR(H144="–",NOT(ISNUMBER(H144))),"–",IF(H144&lt;L144,"🔴 SL Hit",IF(AND(ISNUMBER(K144),H144&gt;=K144),"🎯 T3 Hit — Book!",IF(AND(ISNUMBER(J144),H144&gt;=J144),"🎯 T2 Hit — Book!",IF(AND(ISNUMBER(I144),H144&gt;=I144),"🎯 T1 Hit — Book!",IF(AND(ISNUMBER(E144),H144&gt;=E144),"🟡 In/Above Buy Zone","🔻 Below Buy Zone")))))))</f>
        <v>–</v>
      </c>
      <c r="N144" s="88" t="str">
        <f aca="false">IF(M144="🎯 T3 Hit — Book!","🏆 BOOK T3!",IF(M144="🎯 T2 Hit — Book!","🎯 BOOK T2!",IF(M144="🎯 T1 Hit — Book!","📈 BOOK T1!",IF(M144="🔴 SL Hit","⚠️ EXIT NOW!",IF(M144="🟡 In/Above Buy Zone","🔔 BUY NOW!","–")))))</f>
        <v>–</v>
      </c>
      <c r="O144" s="84" t="s">
        <v>362</v>
      </c>
      <c r="P144" s="95" t="str">
        <f aca="false">IF(OR(ISBLANK(H144),H144="–",NOT(ISNUMBER(H144)),E144=0),"–",(H144-E144)/E144)</f>
        <v>–</v>
      </c>
      <c r="Q144" s="93"/>
      <c r="R144" s="93"/>
      <c r="S144" s="44" t="str">
        <f aca="false">IFERROR(VLOOKUP(B144,SectorMap!A:B,2,0),"–")</f>
        <v>–</v>
      </c>
      <c r="T144" s="55" t="str">
        <f aca="false">IFERROR(VLOOKUP(B144,SectorMap!A:C,3,0),"–")</f>
        <v>–</v>
      </c>
      <c r="U144" s="93"/>
      <c r="V144" s="93"/>
    </row>
    <row r="145" customFormat="false" ht="18.75" hidden="false" customHeight="true" outlineLevel="0" collapsed="false">
      <c r="A145" s="96"/>
      <c r="B145" s="69" t="s">
        <v>654</v>
      </c>
      <c r="C145" s="96"/>
      <c r="D145" s="96"/>
      <c r="E145" s="96"/>
      <c r="F145" s="96"/>
      <c r="G145" s="61" t="s">
        <v>328</v>
      </c>
      <c r="H145" s="94" t="str">
        <f aca="false">IF(OR(ISBLANK(B145),B145="← Add ticker"),"–",IFERROR(googlefinance("NSE:"&amp;B145,"price"),"–"))</f>
        <v>–</v>
      </c>
      <c r="I145" s="96"/>
      <c r="J145" s="96"/>
      <c r="K145" s="96"/>
      <c r="L145" s="96"/>
      <c r="M145" s="82" t="str">
        <f aca="false">IF(OR(ISBLANK(B145),B145="← Add ticker"),"–",IF(OR(H145="–",NOT(ISNUMBER(H145))),"–",IF(H145&lt;L145,"🔴 SL Hit",IF(AND(ISNUMBER(K145),H145&gt;=K145),"🎯 T3 Hit — Book!",IF(AND(ISNUMBER(J145),H145&gt;=J145),"🎯 T2 Hit — Book!",IF(AND(ISNUMBER(I145),H145&gt;=I145),"🎯 T1 Hit — Book!",IF(AND(ISNUMBER(E145),H145&gt;=E145),"🟡 In/Above Buy Zone","🔻 Below Buy Zone")))))))</f>
        <v>–</v>
      </c>
      <c r="N145" s="83" t="str">
        <f aca="false">IF(M145="🎯 T3 Hit — Book!","🏆 BOOK T3!",IF(M145="🎯 T2 Hit — Book!","🎯 BOOK T2!",IF(M145="🎯 T1 Hit — Book!","📈 BOOK T1!",IF(M145="🔴 SL Hit","⚠️ EXIT NOW!",IF(M145="🟡 In/Above Buy Zone","🔔 BUY NOW!","–")))))</f>
        <v>–</v>
      </c>
      <c r="O145" s="84" t="s">
        <v>362</v>
      </c>
      <c r="P145" s="97" t="str">
        <f aca="false">IF(OR(ISBLANK(H145),H145="–",NOT(ISNUMBER(H145)),E145=0),"–",(H145-E145)/E145)</f>
        <v>–</v>
      </c>
      <c r="Q145" s="96"/>
      <c r="R145" s="96"/>
      <c r="S145" s="60" t="str">
        <f aca="false">IFERROR(VLOOKUP(B145,SectorMap!A:B,2,0),"–")</f>
        <v>–</v>
      </c>
      <c r="T145" s="69" t="str">
        <f aca="false">IFERROR(VLOOKUP(B145,SectorMap!A:C,3,0),"–")</f>
        <v>–</v>
      </c>
      <c r="U145" s="96"/>
      <c r="V145" s="96"/>
    </row>
    <row r="146" customFormat="false" ht="18.75" hidden="false" customHeight="true" outlineLevel="0" collapsed="false">
      <c r="A146" s="93"/>
      <c r="B146" s="55" t="s">
        <v>654</v>
      </c>
      <c r="C146" s="93"/>
      <c r="D146" s="93"/>
      <c r="E146" s="93"/>
      <c r="F146" s="93"/>
      <c r="G146" s="45" t="s">
        <v>328</v>
      </c>
      <c r="H146" s="94" t="str">
        <f aca="false">IF(OR(ISBLANK(B146),B146="← Add ticker"),"–",IFERROR(googlefinance("NSE:"&amp;B146,"price"),"–"))</f>
        <v>–</v>
      </c>
      <c r="I146" s="93"/>
      <c r="J146" s="93"/>
      <c r="K146" s="93"/>
      <c r="L146" s="93"/>
      <c r="M146" s="28" t="str">
        <f aca="false">IF(OR(ISBLANK(B146),B146="← Add ticker"),"–",IF(OR(H146="–",NOT(ISNUMBER(H146))),"–",IF(H146&lt;L146,"🔴 SL Hit",IF(AND(ISNUMBER(K146),H146&gt;=K146),"🎯 T3 Hit — Book!",IF(AND(ISNUMBER(J146),H146&gt;=J146),"🎯 T2 Hit — Book!",IF(AND(ISNUMBER(I146),H146&gt;=I146),"🎯 T1 Hit — Book!",IF(AND(ISNUMBER(E146),H146&gt;=E146),"🟡 In/Above Buy Zone","🔻 Below Buy Zone")))))))</f>
        <v>–</v>
      </c>
      <c r="N146" s="88" t="str">
        <f aca="false">IF(M146="🎯 T3 Hit — Book!","🏆 BOOK T3!",IF(M146="🎯 T2 Hit — Book!","🎯 BOOK T2!",IF(M146="🎯 T1 Hit — Book!","📈 BOOK T1!",IF(M146="🔴 SL Hit","⚠️ EXIT NOW!",IF(M146="🟡 In/Above Buy Zone","🔔 BUY NOW!","–")))))</f>
        <v>–</v>
      </c>
      <c r="O146" s="84" t="s">
        <v>362</v>
      </c>
      <c r="P146" s="95" t="str">
        <f aca="false">IF(OR(ISBLANK(H146),H146="–",NOT(ISNUMBER(H146)),E146=0),"–",(H146-E146)/E146)</f>
        <v>–</v>
      </c>
      <c r="Q146" s="93"/>
      <c r="R146" s="93"/>
      <c r="S146" s="44" t="str">
        <f aca="false">IFERROR(VLOOKUP(B146,SectorMap!A:B,2,0),"–")</f>
        <v>–</v>
      </c>
      <c r="T146" s="55" t="str">
        <f aca="false">IFERROR(VLOOKUP(B146,SectorMap!A:C,3,0),"–")</f>
        <v>–</v>
      </c>
      <c r="U146" s="93"/>
      <c r="V146" s="93"/>
    </row>
    <row r="147" customFormat="false" ht="18.75" hidden="false" customHeight="true" outlineLevel="0" collapsed="false">
      <c r="A147" s="96"/>
      <c r="B147" s="69" t="s">
        <v>654</v>
      </c>
      <c r="C147" s="96"/>
      <c r="D147" s="96"/>
      <c r="E147" s="96"/>
      <c r="F147" s="96"/>
      <c r="G147" s="61" t="s">
        <v>328</v>
      </c>
      <c r="H147" s="94" t="str">
        <f aca="false">IF(OR(ISBLANK(B147),B147="← Add ticker"),"–",IFERROR(googlefinance("NSE:"&amp;B147,"price"),"–"))</f>
        <v>–</v>
      </c>
      <c r="I147" s="96"/>
      <c r="J147" s="96"/>
      <c r="K147" s="96"/>
      <c r="L147" s="96"/>
      <c r="M147" s="82" t="str">
        <f aca="false">IF(OR(ISBLANK(B147),B147="← Add ticker"),"–",IF(OR(H147="–",NOT(ISNUMBER(H147))),"–",IF(H147&lt;L147,"🔴 SL Hit",IF(AND(ISNUMBER(K147),H147&gt;=K147),"🎯 T3 Hit — Book!",IF(AND(ISNUMBER(J147),H147&gt;=J147),"🎯 T2 Hit — Book!",IF(AND(ISNUMBER(I147),H147&gt;=I147),"🎯 T1 Hit — Book!",IF(AND(ISNUMBER(E147),H147&gt;=E147),"🟡 In/Above Buy Zone","🔻 Below Buy Zone")))))))</f>
        <v>–</v>
      </c>
      <c r="N147" s="83" t="str">
        <f aca="false">IF(M147="🎯 T3 Hit — Book!","🏆 BOOK T3!",IF(M147="🎯 T2 Hit — Book!","🎯 BOOK T2!",IF(M147="🎯 T1 Hit — Book!","📈 BOOK T1!",IF(M147="🔴 SL Hit","⚠️ EXIT NOW!",IF(M147="🟡 In/Above Buy Zone","🔔 BUY NOW!","–")))))</f>
        <v>–</v>
      </c>
      <c r="O147" s="84" t="s">
        <v>362</v>
      </c>
      <c r="P147" s="97" t="str">
        <f aca="false">IF(OR(ISBLANK(H147),H147="–",NOT(ISNUMBER(H147)),E147=0),"–",(H147-E147)/E147)</f>
        <v>–</v>
      </c>
      <c r="Q147" s="96"/>
      <c r="R147" s="96"/>
      <c r="S147" s="60" t="str">
        <f aca="false">IFERROR(VLOOKUP(B147,SectorMap!A:B,2,0),"–")</f>
        <v>–</v>
      </c>
      <c r="T147" s="69" t="str">
        <f aca="false">IFERROR(VLOOKUP(B147,SectorMap!A:C,3,0),"–")</f>
        <v>–</v>
      </c>
      <c r="U147" s="96"/>
      <c r="V147" s="96"/>
    </row>
    <row r="148" customFormat="false" ht="18.75" hidden="false" customHeight="true" outlineLevel="0" collapsed="false">
      <c r="A148" s="93"/>
      <c r="B148" s="55" t="s">
        <v>654</v>
      </c>
      <c r="C148" s="93"/>
      <c r="D148" s="93"/>
      <c r="E148" s="93"/>
      <c r="F148" s="93"/>
      <c r="G148" s="45" t="s">
        <v>328</v>
      </c>
      <c r="H148" s="94" t="str">
        <f aca="false">IF(OR(ISBLANK(B148),B148="← Add ticker"),"–",IFERROR(googlefinance("NSE:"&amp;B148,"price"),"–"))</f>
        <v>–</v>
      </c>
      <c r="I148" s="93"/>
      <c r="J148" s="93"/>
      <c r="K148" s="93"/>
      <c r="L148" s="93"/>
      <c r="M148" s="28" t="str">
        <f aca="false">IF(OR(ISBLANK(B148),B148="← Add ticker"),"–",IF(OR(H148="–",NOT(ISNUMBER(H148))),"–",IF(H148&lt;L148,"🔴 SL Hit",IF(AND(ISNUMBER(K148),H148&gt;=K148),"🎯 T3 Hit — Book!",IF(AND(ISNUMBER(J148),H148&gt;=J148),"🎯 T2 Hit — Book!",IF(AND(ISNUMBER(I148),H148&gt;=I148),"🎯 T1 Hit — Book!",IF(AND(ISNUMBER(E148),H148&gt;=E148),"🟡 In/Above Buy Zone","🔻 Below Buy Zone")))))))</f>
        <v>–</v>
      </c>
      <c r="N148" s="88" t="str">
        <f aca="false">IF(M148="🎯 T3 Hit — Book!","🏆 BOOK T3!",IF(M148="🎯 T2 Hit — Book!","🎯 BOOK T2!",IF(M148="🎯 T1 Hit — Book!","📈 BOOK T1!",IF(M148="🔴 SL Hit","⚠️ EXIT NOW!",IF(M148="🟡 In/Above Buy Zone","🔔 BUY NOW!","–")))))</f>
        <v>–</v>
      </c>
      <c r="O148" s="84" t="s">
        <v>362</v>
      </c>
      <c r="P148" s="95" t="str">
        <f aca="false">IF(OR(ISBLANK(H148),H148="–",NOT(ISNUMBER(H148)),E148=0),"–",(H148-E148)/E148)</f>
        <v>–</v>
      </c>
      <c r="Q148" s="93"/>
      <c r="R148" s="93"/>
      <c r="S148" s="44" t="str">
        <f aca="false">IFERROR(VLOOKUP(B148,SectorMap!A:B,2,0),"–")</f>
        <v>–</v>
      </c>
      <c r="T148" s="55" t="str">
        <f aca="false">IFERROR(VLOOKUP(B148,SectorMap!A:C,3,0),"–")</f>
        <v>–</v>
      </c>
      <c r="U148" s="93"/>
      <c r="V148" s="93"/>
    </row>
    <row r="149" customFormat="false" ht="18.75" hidden="false" customHeight="true" outlineLevel="0" collapsed="false">
      <c r="A149" s="96"/>
      <c r="B149" s="69" t="s">
        <v>654</v>
      </c>
      <c r="C149" s="96"/>
      <c r="D149" s="96"/>
      <c r="E149" s="96"/>
      <c r="F149" s="96"/>
      <c r="G149" s="61" t="s">
        <v>328</v>
      </c>
      <c r="H149" s="94" t="str">
        <f aca="false">IF(OR(ISBLANK(B149),B149="← Add ticker"),"–",IFERROR(googlefinance("NSE:"&amp;B149,"price"),"–"))</f>
        <v>–</v>
      </c>
      <c r="I149" s="96"/>
      <c r="J149" s="96"/>
      <c r="K149" s="96"/>
      <c r="L149" s="96"/>
      <c r="M149" s="82" t="str">
        <f aca="false">IF(OR(ISBLANK(B149),B149="← Add ticker"),"–",IF(OR(H149="–",NOT(ISNUMBER(H149))),"–",IF(H149&lt;L149,"🔴 SL Hit",IF(AND(ISNUMBER(K149),H149&gt;=K149),"🎯 T3 Hit — Book!",IF(AND(ISNUMBER(J149),H149&gt;=J149),"🎯 T2 Hit — Book!",IF(AND(ISNUMBER(I149),H149&gt;=I149),"🎯 T1 Hit — Book!",IF(AND(ISNUMBER(E149),H149&gt;=E149),"🟡 In/Above Buy Zone","🔻 Below Buy Zone")))))))</f>
        <v>–</v>
      </c>
      <c r="N149" s="83" t="str">
        <f aca="false">IF(M149="🎯 T3 Hit — Book!","🏆 BOOK T3!",IF(M149="🎯 T2 Hit — Book!","🎯 BOOK T2!",IF(M149="🎯 T1 Hit — Book!","📈 BOOK T1!",IF(M149="🔴 SL Hit","⚠️ EXIT NOW!",IF(M149="🟡 In/Above Buy Zone","🔔 BUY NOW!","–")))))</f>
        <v>–</v>
      </c>
      <c r="O149" s="84" t="s">
        <v>362</v>
      </c>
      <c r="P149" s="97" t="str">
        <f aca="false">IF(OR(ISBLANK(H149),H149="–",NOT(ISNUMBER(H149)),E149=0),"–",(H149-E149)/E149)</f>
        <v>–</v>
      </c>
      <c r="Q149" s="96"/>
      <c r="R149" s="96"/>
      <c r="S149" s="60" t="str">
        <f aca="false">IFERROR(VLOOKUP(B149,SectorMap!A:B,2,0),"–")</f>
        <v>–</v>
      </c>
      <c r="T149" s="69" t="str">
        <f aca="false">IFERROR(VLOOKUP(B149,SectorMap!A:C,3,0),"–")</f>
        <v>–</v>
      </c>
      <c r="U149" s="96"/>
      <c r="V149" s="96"/>
    </row>
    <row r="150" customFormat="false" ht="18.75" hidden="false" customHeight="true" outlineLevel="0" collapsed="false">
      <c r="A150" s="93"/>
      <c r="B150" s="55" t="s">
        <v>654</v>
      </c>
      <c r="C150" s="93"/>
      <c r="D150" s="93"/>
      <c r="E150" s="93"/>
      <c r="F150" s="93"/>
      <c r="G150" s="45" t="s">
        <v>328</v>
      </c>
      <c r="H150" s="94" t="str">
        <f aca="false">IF(OR(ISBLANK(B150),B150="← Add ticker"),"–",IFERROR(googlefinance("NSE:"&amp;B150,"price"),"–"))</f>
        <v>–</v>
      </c>
      <c r="I150" s="93"/>
      <c r="J150" s="93"/>
      <c r="K150" s="93"/>
      <c r="L150" s="93"/>
      <c r="M150" s="28" t="str">
        <f aca="false">IF(OR(ISBLANK(B150),B150="← Add ticker"),"–",IF(OR(H150="–",NOT(ISNUMBER(H150))),"–",IF(H150&lt;L150,"🔴 SL Hit",IF(AND(ISNUMBER(K150),H150&gt;=K150),"🎯 T3 Hit — Book!",IF(AND(ISNUMBER(J150),H150&gt;=J150),"🎯 T2 Hit — Book!",IF(AND(ISNUMBER(I150),H150&gt;=I150),"🎯 T1 Hit — Book!",IF(AND(ISNUMBER(E150),H150&gt;=E150),"🟡 In/Above Buy Zone","🔻 Below Buy Zone")))))))</f>
        <v>–</v>
      </c>
      <c r="N150" s="88" t="str">
        <f aca="false">IF(M150="🎯 T3 Hit — Book!","🏆 BOOK T3!",IF(M150="🎯 T2 Hit — Book!","🎯 BOOK T2!",IF(M150="🎯 T1 Hit — Book!","📈 BOOK T1!",IF(M150="🔴 SL Hit","⚠️ EXIT NOW!",IF(M150="🟡 In/Above Buy Zone","🔔 BUY NOW!","–")))))</f>
        <v>–</v>
      </c>
      <c r="O150" s="84" t="s">
        <v>362</v>
      </c>
      <c r="P150" s="95" t="str">
        <f aca="false">IF(OR(ISBLANK(H150),H150="–",NOT(ISNUMBER(H150)),E150=0),"–",(H150-E150)/E150)</f>
        <v>–</v>
      </c>
      <c r="Q150" s="93"/>
      <c r="R150" s="93"/>
      <c r="S150" s="44" t="str">
        <f aca="false">IFERROR(VLOOKUP(B150,SectorMap!A:B,2,0),"–")</f>
        <v>–</v>
      </c>
      <c r="T150" s="55" t="str">
        <f aca="false">IFERROR(VLOOKUP(B150,SectorMap!A:C,3,0),"–")</f>
        <v>–</v>
      </c>
      <c r="U150" s="93"/>
      <c r="V150" s="93"/>
    </row>
    <row r="151" customFormat="false" ht="18.75" hidden="false" customHeight="true" outlineLevel="0" collapsed="false">
      <c r="A151" s="96"/>
      <c r="B151" s="69" t="s">
        <v>654</v>
      </c>
      <c r="C151" s="96"/>
      <c r="D151" s="96"/>
      <c r="E151" s="96"/>
      <c r="F151" s="96"/>
      <c r="G151" s="61" t="s">
        <v>328</v>
      </c>
      <c r="H151" s="94" t="str">
        <f aca="false">IF(OR(ISBLANK(B151),B151="← Add ticker"),"–",IFERROR(googlefinance("NSE:"&amp;B151,"price"),"–"))</f>
        <v>–</v>
      </c>
      <c r="I151" s="96"/>
      <c r="J151" s="96"/>
      <c r="K151" s="96"/>
      <c r="L151" s="96"/>
      <c r="M151" s="82" t="str">
        <f aca="false">IF(OR(ISBLANK(B151),B151="← Add ticker"),"–",IF(OR(H151="–",NOT(ISNUMBER(H151))),"–",IF(H151&lt;L151,"🔴 SL Hit",IF(AND(ISNUMBER(K151),H151&gt;=K151),"🎯 T3 Hit — Book!",IF(AND(ISNUMBER(J151),H151&gt;=J151),"🎯 T2 Hit — Book!",IF(AND(ISNUMBER(I151),H151&gt;=I151),"🎯 T1 Hit — Book!",IF(AND(ISNUMBER(E151),H151&gt;=E151),"🟡 In/Above Buy Zone","🔻 Below Buy Zone")))))))</f>
        <v>–</v>
      </c>
      <c r="N151" s="83" t="str">
        <f aca="false">IF(M151="🎯 T3 Hit — Book!","🏆 BOOK T3!",IF(M151="🎯 T2 Hit — Book!","🎯 BOOK T2!",IF(M151="🎯 T1 Hit — Book!","📈 BOOK T1!",IF(M151="🔴 SL Hit","⚠️ EXIT NOW!",IF(M151="🟡 In/Above Buy Zone","🔔 BUY NOW!","–")))))</f>
        <v>–</v>
      </c>
      <c r="O151" s="84" t="s">
        <v>362</v>
      </c>
      <c r="P151" s="97" t="str">
        <f aca="false">IF(OR(ISBLANK(H151),H151="–",NOT(ISNUMBER(H151)),E151=0),"–",(H151-E151)/E151)</f>
        <v>–</v>
      </c>
      <c r="Q151" s="96"/>
      <c r="R151" s="96"/>
      <c r="S151" s="60" t="str">
        <f aca="false">IFERROR(VLOOKUP(B151,SectorMap!A:B,2,0),"–")</f>
        <v>–</v>
      </c>
      <c r="T151" s="69" t="str">
        <f aca="false">IFERROR(VLOOKUP(B151,SectorMap!A:C,3,0),"–")</f>
        <v>–</v>
      </c>
      <c r="U151" s="96"/>
      <c r="V151" s="96"/>
    </row>
    <row r="152" customFormat="false" ht="18.75" hidden="false" customHeight="true" outlineLevel="0" collapsed="false">
      <c r="A152" s="93"/>
      <c r="B152" s="55" t="s">
        <v>654</v>
      </c>
      <c r="C152" s="93"/>
      <c r="D152" s="93"/>
      <c r="E152" s="93"/>
      <c r="F152" s="93"/>
      <c r="G152" s="45" t="s">
        <v>328</v>
      </c>
      <c r="H152" s="94" t="str">
        <f aca="false">IF(OR(ISBLANK(B152),B152="← Add ticker"),"–",IFERROR(googlefinance("NSE:"&amp;B152,"price"),"–"))</f>
        <v>–</v>
      </c>
      <c r="I152" s="93"/>
      <c r="J152" s="93"/>
      <c r="K152" s="93"/>
      <c r="L152" s="93"/>
      <c r="M152" s="28" t="str">
        <f aca="false">IF(OR(ISBLANK(B152),B152="← Add ticker"),"–",IF(OR(H152="–",NOT(ISNUMBER(H152))),"–",IF(H152&lt;L152,"🔴 SL Hit",IF(AND(ISNUMBER(K152),H152&gt;=K152),"🎯 T3 Hit — Book!",IF(AND(ISNUMBER(J152),H152&gt;=J152),"🎯 T2 Hit — Book!",IF(AND(ISNUMBER(I152),H152&gt;=I152),"🎯 T1 Hit — Book!",IF(AND(ISNUMBER(E152),H152&gt;=E152),"🟡 In/Above Buy Zone","🔻 Below Buy Zone")))))))</f>
        <v>–</v>
      </c>
      <c r="N152" s="88" t="str">
        <f aca="false">IF(M152="🎯 T3 Hit — Book!","🏆 BOOK T3!",IF(M152="🎯 T2 Hit — Book!","🎯 BOOK T2!",IF(M152="🎯 T1 Hit — Book!","📈 BOOK T1!",IF(M152="🔴 SL Hit","⚠️ EXIT NOW!",IF(M152="🟡 In/Above Buy Zone","🔔 BUY NOW!","–")))))</f>
        <v>–</v>
      </c>
      <c r="O152" s="84" t="s">
        <v>362</v>
      </c>
      <c r="P152" s="95" t="str">
        <f aca="false">IF(OR(ISBLANK(H152),H152="–",NOT(ISNUMBER(H152)),E152=0),"–",(H152-E152)/E152)</f>
        <v>–</v>
      </c>
      <c r="Q152" s="93"/>
      <c r="R152" s="93"/>
      <c r="S152" s="44" t="str">
        <f aca="false">IFERROR(VLOOKUP(B152,SectorMap!A:B,2,0),"–")</f>
        <v>–</v>
      </c>
      <c r="T152" s="55" t="str">
        <f aca="false">IFERROR(VLOOKUP(B152,SectorMap!A:C,3,0),"–")</f>
        <v>–</v>
      </c>
      <c r="U152" s="93"/>
      <c r="V152" s="93"/>
    </row>
    <row r="153" customFormat="false" ht="18.75" hidden="false" customHeight="true" outlineLevel="0" collapsed="false">
      <c r="A153" s="96"/>
      <c r="B153" s="69" t="s">
        <v>654</v>
      </c>
      <c r="C153" s="96"/>
      <c r="D153" s="96"/>
      <c r="E153" s="96"/>
      <c r="F153" s="96"/>
      <c r="G153" s="61" t="s">
        <v>328</v>
      </c>
      <c r="H153" s="94" t="str">
        <f aca="false">IF(OR(ISBLANK(B153),B153="← Add ticker"),"–",IFERROR(googlefinance("NSE:"&amp;B153,"price"),"–"))</f>
        <v>–</v>
      </c>
      <c r="I153" s="96"/>
      <c r="J153" s="96"/>
      <c r="K153" s="96"/>
      <c r="L153" s="96"/>
      <c r="M153" s="82" t="str">
        <f aca="false">IF(OR(ISBLANK(B153),B153="← Add ticker"),"–",IF(OR(H153="–",NOT(ISNUMBER(H153))),"–",IF(H153&lt;L153,"🔴 SL Hit",IF(AND(ISNUMBER(K153),H153&gt;=K153),"🎯 T3 Hit — Book!",IF(AND(ISNUMBER(J153),H153&gt;=J153),"🎯 T2 Hit — Book!",IF(AND(ISNUMBER(I153),H153&gt;=I153),"🎯 T1 Hit — Book!",IF(AND(ISNUMBER(E153),H153&gt;=E153),"🟡 In/Above Buy Zone","🔻 Below Buy Zone")))))))</f>
        <v>–</v>
      </c>
      <c r="N153" s="83" t="str">
        <f aca="false">IF(M153="🎯 T3 Hit — Book!","🏆 BOOK T3!",IF(M153="🎯 T2 Hit — Book!","🎯 BOOK T2!",IF(M153="🎯 T1 Hit — Book!","📈 BOOK T1!",IF(M153="🔴 SL Hit","⚠️ EXIT NOW!",IF(M153="🟡 In/Above Buy Zone","🔔 BUY NOW!","–")))))</f>
        <v>–</v>
      </c>
      <c r="O153" s="84" t="s">
        <v>362</v>
      </c>
      <c r="P153" s="97" t="str">
        <f aca="false">IF(OR(ISBLANK(H153),H153="–",NOT(ISNUMBER(H153)),E153=0),"–",(H153-E153)/E153)</f>
        <v>–</v>
      </c>
      <c r="Q153" s="96"/>
      <c r="R153" s="96"/>
      <c r="S153" s="60" t="str">
        <f aca="false">IFERROR(VLOOKUP(B153,SectorMap!A:B,2,0),"–")</f>
        <v>–</v>
      </c>
      <c r="T153" s="69" t="str">
        <f aca="false">IFERROR(VLOOKUP(B153,SectorMap!A:C,3,0),"–")</f>
        <v>–</v>
      </c>
      <c r="U153" s="96"/>
      <c r="V153" s="96"/>
    </row>
    <row r="154" customFormat="false" ht="18.75" hidden="false" customHeight="true" outlineLevel="0" collapsed="false">
      <c r="A154" s="93"/>
      <c r="B154" s="55" t="s">
        <v>654</v>
      </c>
      <c r="C154" s="93"/>
      <c r="D154" s="93"/>
      <c r="E154" s="93"/>
      <c r="F154" s="93"/>
      <c r="G154" s="45" t="s">
        <v>328</v>
      </c>
      <c r="H154" s="94" t="str">
        <f aca="false">IF(OR(ISBLANK(B154),B154="← Add ticker"),"–",IFERROR(googlefinance("NSE:"&amp;B154,"price"),"–"))</f>
        <v>–</v>
      </c>
      <c r="I154" s="93"/>
      <c r="J154" s="93"/>
      <c r="K154" s="93"/>
      <c r="L154" s="93"/>
      <c r="M154" s="28" t="str">
        <f aca="false">IF(OR(ISBLANK(B154),B154="← Add ticker"),"–",IF(OR(H154="–",NOT(ISNUMBER(H154))),"–",IF(H154&lt;L154,"🔴 SL Hit",IF(AND(ISNUMBER(K154),H154&gt;=K154),"🎯 T3 Hit — Book!",IF(AND(ISNUMBER(J154),H154&gt;=J154),"🎯 T2 Hit — Book!",IF(AND(ISNUMBER(I154),H154&gt;=I154),"🎯 T1 Hit — Book!",IF(AND(ISNUMBER(E154),H154&gt;=E154),"🟡 In/Above Buy Zone","🔻 Below Buy Zone")))))))</f>
        <v>–</v>
      </c>
      <c r="N154" s="88" t="str">
        <f aca="false">IF(M154="🎯 T3 Hit — Book!","🏆 BOOK T3!",IF(M154="🎯 T2 Hit — Book!","🎯 BOOK T2!",IF(M154="🎯 T1 Hit — Book!","📈 BOOK T1!",IF(M154="🔴 SL Hit","⚠️ EXIT NOW!",IF(M154="🟡 In/Above Buy Zone","🔔 BUY NOW!","–")))))</f>
        <v>–</v>
      </c>
      <c r="O154" s="84" t="s">
        <v>362</v>
      </c>
      <c r="P154" s="95" t="str">
        <f aca="false">IF(OR(ISBLANK(H154),H154="–",NOT(ISNUMBER(H154)),E154=0),"–",(H154-E154)/E154)</f>
        <v>–</v>
      </c>
      <c r="Q154" s="93"/>
      <c r="R154" s="93"/>
      <c r="S154" s="44" t="str">
        <f aca="false">IFERROR(VLOOKUP(B154,SectorMap!A:B,2,0),"–")</f>
        <v>–</v>
      </c>
      <c r="T154" s="55" t="str">
        <f aca="false">IFERROR(VLOOKUP(B154,SectorMap!A:C,3,0),"–")</f>
        <v>–</v>
      </c>
      <c r="U154" s="93"/>
      <c r="V154" s="93"/>
    </row>
    <row r="155" customFormat="false" ht="18.75" hidden="false" customHeight="true" outlineLevel="0" collapsed="false">
      <c r="A155" s="96"/>
      <c r="B155" s="69" t="s">
        <v>654</v>
      </c>
      <c r="C155" s="96"/>
      <c r="D155" s="96"/>
      <c r="E155" s="96"/>
      <c r="F155" s="96"/>
      <c r="G155" s="61" t="s">
        <v>328</v>
      </c>
      <c r="H155" s="94" t="str">
        <f aca="false">IF(OR(ISBLANK(B155),B155="← Add ticker"),"–",IFERROR(googlefinance("NSE:"&amp;B155,"price"),"–"))</f>
        <v>–</v>
      </c>
      <c r="I155" s="96"/>
      <c r="J155" s="96"/>
      <c r="K155" s="96"/>
      <c r="L155" s="96"/>
      <c r="M155" s="82" t="str">
        <f aca="false">IF(OR(ISBLANK(B155),B155="← Add ticker"),"–",IF(OR(H155="–",NOT(ISNUMBER(H155))),"–",IF(H155&lt;L155,"🔴 SL Hit",IF(AND(ISNUMBER(K155),H155&gt;=K155),"🎯 T3 Hit — Book!",IF(AND(ISNUMBER(J155),H155&gt;=J155),"🎯 T2 Hit — Book!",IF(AND(ISNUMBER(I155),H155&gt;=I155),"🎯 T1 Hit — Book!",IF(AND(ISNUMBER(E155),H155&gt;=E155),"🟡 In/Above Buy Zone","🔻 Below Buy Zone")))))))</f>
        <v>–</v>
      </c>
      <c r="N155" s="83" t="str">
        <f aca="false">IF(M155="🎯 T3 Hit — Book!","🏆 BOOK T3!",IF(M155="🎯 T2 Hit — Book!","🎯 BOOK T2!",IF(M155="🎯 T1 Hit — Book!","📈 BOOK T1!",IF(M155="🔴 SL Hit","⚠️ EXIT NOW!",IF(M155="🟡 In/Above Buy Zone","🔔 BUY NOW!","–")))))</f>
        <v>–</v>
      </c>
      <c r="O155" s="84" t="s">
        <v>362</v>
      </c>
      <c r="P155" s="97" t="str">
        <f aca="false">IF(OR(ISBLANK(H155),H155="–",NOT(ISNUMBER(H155)),E155=0),"–",(H155-E155)/E155)</f>
        <v>–</v>
      </c>
      <c r="Q155" s="96"/>
      <c r="R155" s="96"/>
      <c r="S155" s="60" t="str">
        <f aca="false">IFERROR(VLOOKUP(B155,SectorMap!A:B,2,0),"–")</f>
        <v>–</v>
      </c>
      <c r="T155" s="69" t="str">
        <f aca="false">IFERROR(VLOOKUP(B155,SectorMap!A:C,3,0),"–")</f>
        <v>–</v>
      </c>
      <c r="U155" s="96"/>
      <c r="V155" s="96"/>
    </row>
    <row r="156" customFormat="false" ht="18.75" hidden="false" customHeight="true" outlineLevel="0" collapsed="false">
      <c r="A156" s="93"/>
      <c r="B156" s="55" t="s">
        <v>654</v>
      </c>
      <c r="C156" s="93"/>
      <c r="D156" s="93"/>
      <c r="E156" s="93"/>
      <c r="F156" s="93"/>
      <c r="G156" s="45" t="s">
        <v>328</v>
      </c>
      <c r="H156" s="94" t="str">
        <f aca="false">IF(OR(ISBLANK(B156),B156="← Add ticker"),"–",IFERROR(googlefinance("NSE:"&amp;B156,"price"),"–"))</f>
        <v>–</v>
      </c>
      <c r="I156" s="93"/>
      <c r="J156" s="93"/>
      <c r="K156" s="93"/>
      <c r="L156" s="93"/>
      <c r="M156" s="28" t="str">
        <f aca="false">IF(OR(ISBLANK(B156),B156="← Add ticker"),"–",IF(OR(H156="–",NOT(ISNUMBER(H156))),"–",IF(H156&lt;L156,"🔴 SL Hit",IF(AND(ISNUMBER(K156),H156&gt;=K156),"🎯 T3 Hit — Book!",IF(AND(ISNUMBER(J156),H156&gt;=J156),"🎯 T2 Hit — Book!",IF(AND(ISNUMBER(I156),H156&gt;=I156),"🎯 T1 Hit — Book!",IF(AND(ISNUMBER(E156),H156&gt;=E156),"🟡 In/Above Buy Zone","🔻 Below Buy Zone")))))))</f>
        <v>–</v>
      </c>
      <c r="N156" s="88" t="str">
        <f aca="false">IF(M156="🎯 T3 Hit — Book!","🏆 BOOK T3!",IF(M156="🎯 T2 Hit — Book!","🎯 BOOK T2!",IF(M156="🎯 T1 Hit — Book!","📈 BOOK T1!",IF(M156="🔴 SL Hit","⚠️ EXIT NOW!",IF(M156="🟡 In/Above Buy Zone","🔔 BUY NOW!","–")))))</f>
        <v>–</v>
      </c>
      <c r="O156" s="84" t="s">
        <v>362</v>
      </c>
      <c r="P156" s="95" t="str">
        <f aca="false">IF(OR(ISBLANK(H156),H156="–",NOT(ISNUMBER(H156)),E156=0),"–",(H156-E156)/E156)</f>
        <v>–</v>
      </c>
      <c r="Q156" s="93"/>
      <c r="R156" s="93"/>
      <c r="S156" s="44" t="str">
        <f aca="false">IFERROR(VLOOKUP(B156,SectorMap!A:B,2,0),"–")</f>
        <v>–</v>
      </c>
      <c r="T156" s="55" t="str">
        <f aca="false">IFERROR(VLOOKUP(B156,SectorMap!A:C,3,0),"–")</f>
        <v>–</v>
      </c>
      <c r="U156" s="93"/>
      <c r="V156" s="93"/>
    </row>
    <row r="157" customFormat="false" ht="18.75" hidden="false" customHeight="true" outlineLevel="0" collapsed="false">
      <c r="A157" s="96"/>
      <c r="B157" s="69" t="s">
        <v>654</v>
      </c>
      <c r="C157" s="96"/>
      <c r="D157" s="96"/>
      <c r="E157" s="96"/>
      <c r="F157" s="96"/>
      <c r="G157" s="61" t="s">
        <v>328</v>
      </c>
      <c r="H157" s="94" t="str">
        <f aca="false">IF(OR(ISBLANK(B157),B157="← Add ticker"),"–",IFERROR(googlefinance("NSE:"&amp;B157,"price"),"–"))</f>
        <v>–</v>
      </c>
      <c r="I157" s="96"/>
      <c r="J157" s="96"/>
      <c r="K157" s="96"/>
      <c r="L157" s="96"/>
      <c r="M157" s="82" t="str">
        <f aca="false">IF(OR(ISBLANK(B157),B157="← Add ticker"),"–",IF(OR(H157="–",NOT(ISNUMBER(H157))),"–",IF(H157&lt;L157,"🔴 SL Hit",IF(AND(ISNUMBER(K157),H157&gt;=K157),"🎯 T3 Hit — Book!",IF(AND(ISNUMBER(J157),H157&gt;=J157),"🎯 T2 Hit — Book!",IF(AND(ISNUMBER(I157),H157&gt;=I157),"🎯 T1 Hit — Book!",IF(AND(ISNUMBER(E157),H157&gt;=E157),"🟡 In/Above Buy Zone","🔻 Below Buy Zone")))))))</f>
        <v>–</v>
      </c>
      <c r="N157" s="83" t="str">
        <f aca="false">IF(M157="🎯 T3 Hit — Book!","🏆 BOOK T3!",IF(M157="🎯 T2 Hit — Book!","🎯 BOOK T2!",IF(M157="🎯 T1 Hit — Book!","📈 BOOK T1!",IF(M157="🔴 SL Hit","⚠️ EXIT NOW!",IF(M157="🟡 In/Above Buy Zone","🔔 BUY NOW!","–")))))</f>
        <v>–</v>
      </c>
      <c r="O157" s="84" t="s">
        <v>362</v>
      </c>
      <c r="P157" s="97" t="str">
        <f aca="false">IF(OR(ISBLANK(H157),H157="–",NOT(ISNUMBER(H157)),E157=0),"–",(H157-E157)/E157)</f>
        <v>–</v>
      </c>
      <c r="Q157" s="96"/>
      <c r="R157" s="96"/>
      <c r="S157" s="60" t="str">
        <f aca="false">IFERROR(VLOOKUP(B157,SectorMap!A:B,2,0),"–")</f>
        <v>–</v>
      </c>
      <c r="T157" s="69" t="str">
        <f aca="false">IFERROR(VLOOKUP(B157,SectorMap!A:C,3,0),"–")</f>
        <v>–</v>
      </c>
      <c r="U157" s="96"/>
      <c r="V157" s="96"/>
    </row>
    <row r="158" customFormat="false" ht="18.75" hidden="false" customHeight="true" outlineLevel="0" collapsed="false">
      <c r="A158" s="93"/>
      <c r="B158" s="55" t="s">
        <v>654</v>
      </c>
      <c r="C158" s="93"/>
      <c r="D158" s="93"/>
      <c r="E158" s="93"/>
      <c r="F158" s="93"/>
      <c r="G158" s="45" t="s">
        <v>328</v>
      </c>
      <c r="H158" s="94" t="str">
        <f aca="false">IF(OR(ISBLANK(B158),B158="← Add ticker"),"–",IFERROR(googlefinance("NSE:"&amp;B158,"price"),"–"))</f>
        <v>–</v>
      </c>
      <c r="I158" s="93"/>
      <c r="J158" s="93"/>
      <c r="K158" s="93"/>
      <c r="L158" s="93"/>
      <c r="M158" s="28" t="str">
        <f aca="false">IF(OR(ISBLANK(B158),B158="← Add ticker"),"–",IF(OR(H158="–",NOT(ISNUMBER(H158))),"–",IF(H158&lt;L158,"🔴 SL Hit",IF(AND(ISNUMBER(K158),H158&gt;=K158),"🎯 T3 Hit — Book!",IF(AND(ISNUMBER(J158),H158&gt;=J158),"🎯 T2 Hit — Book!",IF(AND(ISNUMBER(I158),H158&gt;=I158),"🎯 T1 Hit — Book!",IF(AND(ISNUMBER(E158),H158&gt;=E158),"🟡 In/Above Buy Zone","🔻 Below Buy Zone")))))))</f>
        <v>–</v>
      </c>
      <c r="N158" s="88" t="str">
        <f aca="false">IF(M158="🎯 T3 Hit — Book!","🏆 BOOK T3!",IF(M158="🎯 T2 Hit — Book!","🎯 BOOK T2!",IF(M158="🎯 T1 Hit — Book!","📈 BOOK T1!",IF(M158="🔴 SL Hit","⚠️ EXIT NOW!",IF(M158="🟡 In/Above Buy Zone","🔔 BUY NOW!","–")))))</f>
        <v>–</v>
      </c>
      <c r="O158" s="84" t="s">
        <v>362</v>
      </c>
      <c r="P158" s="95" t="str">
        <f aca="false">IF(OR(ISBLANK(H158),H158="–",NOT(ISNUMBER(H158)),E158=0),"–",(H158-E158)/E158)</f>
        <v>–</v>
      </c>
      <c r="Q158" s="93"/>
      <c r="R158" s="93"/>
      <c r="S158" s="44" t="str">
        <f aca="false">IFERROR(VLOOKUP(B158,SectorMap!A:B,2,0),"–")</f>
        <v>–</v>
      </c>
      <c r="T158" s="55" t="str">
        <f aca="false">IFERROR(VLOOKUP(B158,SectorMap!A:C,3,0),"–")</f>
        <v>–</v>
      </c>
      <c r="U158" s="93"/>
      <c r="V158" s="93"/>
    </row>
    <row r="159" customFormat="false" ht="18.75" hidden="false" customHeight="true" outlineLevel="0" collapsed="false">
      <c r="A159" s="96"/>
      <c r="B159" s="69" t="s">
        <v>654</v>
      </c>
      <c r="C159" s="96"/>
      <c r="D159" s="96"/>
      <c r="E159" s="96"/>
      <c r="F159" s="96"/>
      <c r="G159" s="61" t="s">
        <v>328</v>
      </c>
      <c r="H159" s="94" t="str">
        <f aca="false">IF(OR(ISBLANK(B159),B159="← Add ticker"),"–",IFERROR(googlefinance("NSE:"&amp;B159,"price"),"–"))</f>
        <v>–</v>
      </c>
      <c r="I159" s="96"/>
      <c r="J159" s="96"/>
      <c r="K159" s="96"/>
      <c r="L159" s="96"/>
      <c r="M159" s="82" t="str">
        <f aca="false">IF(OR(ISBLANK(B159),B159="← Add ticker"),"–",IF(OR(H159="–",NOT(ISNUMBER(H159))),"–",IF(H159&lt;L159,"🔴 SL Hit",IF(AND(ISNUMBER(K159),H159&gt;=K159),"🎯 T3 Hit — Book!",IF(AND(ISNUMBER(J159),H159&gt;=J159),"🎯 T2 Hit — Book!",IF(AND(ISNUMBER(I159),H159&gt;=I159),"🎯 T1 Hit — Book!",IF(AND(ISNUMBER(E159),H159&gt;=E159),"🟡 In/Above Buy Zone","🔻 Below Buy Zone")))))))</f>
        <v>–</v>
      </c>
      <c r="N159" s="83" t="str">
        <f aca="false">IF(M159="🎯 T3 Hit — Book!","🏆 BOOK T3!",IF(M159="🎯 T2 Hit — Book!","🎯 BOOK T2!",IF(M159="🎯 T1 Hit — Book!","📈 BOOK T1!",IF(M159="🔴 SL Hit","⚠️ EXIT NOW!",IF(M159="🟡 In/Above Buy Zone","🔔 BUY NOW!","–")))))</f>
        <v>–</v>
      </c>
      <c r="O159" s="84" t="s">
        <v>362</v>
      </c>
      <c r="P159" s="97" t="str">
        <f aca="false">IF(OR(ISBLANK(H159),H159="–",NOT(ISNUMBER(H159)),E159=0),"–",(H159-E159)/E159)</f>
        <v>–</v>
      </c>
      <c r="Q159" s="96"/>
      <c r="R159" s="96"/>
      <c r="S159" s="60" t="str">
        <f aca="false">IFERROR(VLOOKUP(B159,SectorMap!A:B,2,0),"–")</f>
        <v>–</v>
      </c>
      <c r="T159" s="69" t="str">
        <f aca="false">IFERROR(VLOOKUP(B159,SectorMap!A:C,3,0),"–")</f>
        <v>–</v>
      </c>
      <c r="U159" s="96"/>
      <c r="V159" s="96"/>
    </row>
    <row r="160" customFormat="false" ht="18.75" hidden="false" customHeight="true" outlineLevel="0" collapsed="false">
      <c r="A160" s="93"/>
      <c r="B160" s="55" t="s">
        <v>654</v>
      </c>
      <c r="C160" s="93"/>
      <c r="D160" s="93"/>
      <c r="E160" s="93"/>
      <c r="F160" s="93"/>
      <c r="G160" s="45" t="s">
        <v>328</v>
      </c>
      <c r="H160" s="94" t="str">
        <f aca="false">IF(OR(ISBLANK(B160),B160="← Add ticker"),"–",IFERROR(googlefinance("NSE:"&amp;B160,"price"),"–"))</f>
        <v>–</v>
      </c>
      <c r="I160" s="93"/>
      <c r="J160" s="93"/>
      <c r="K160" s="93"/>
      <c r="L160" s="93"/>
      <c r="M160" s="28" t="str">
        <f aca="false">IF(OR(ISBLANK(B160),B160="← Add ticker"),"–",IF(OR(H160="–",NOT(ISNUMBER(H160))),"–",IF(H160&lt;L160,"🔴 SL Hit",IF(AND(ISNUMBER(K160),H160&gt;=K160),"🎯 T3 Hit — Book!",IF(AND(ISNUMBER(J160),H160&gt;=J160),"🎯 T2 Hit — Book!",IF(AND(ISNUMBER(I160),H160&gt;=I160),"🎯 T1 Hit — Book!",IF(AND(ISNUMBER(E160),H160&gt;=E160),"🟡 In/Above Buy Zone","🔻 Below Buy Zone")))))))</f>
        <v>–</v>
      </c>
      <c r="N160" s="88" t="str">
        <f aca="false">IF(M160="🎯 T3 Hit — Book!","🏆 BOOK T3!",IF(M160="🎯 T2 Hit — Book!","🎯 BOOK T2!",IF(M160="🎯 T1 Hit — Book!","📈 BOOK T1!",IF(M160="🔴 SL Hit","⚠️ EXIT NOW!",IF(M160="🟡 In/Above Buy Zone","🔔 BUY NOW!","–")))))</f>
        <v>–</v>
      </c>
      <c r="O160" s="84" t="s">
        <v>362</v>
      </c>
      <c r="P160" s="95" t="str">
        <f aca="false">IF(OR(ISBLANK(H160),H160="–",NOT(ISNUMBER(H160)),E160=0),"–",(H160-E160)/E160)</f>
        <v>–</v>
      </c>
      <c r="Q160" s="93"/>
      <c r="R160" s="93"/>
      <c r="S160" s="44" t="str">
        <f aca="false">IFERROR(VLOOKUP(B160,SectorMap!A:B,2,0),"–")</f>
        <v>–</v>
      </c>
      <c r="T160" s="55" t="str">
        <f aca="false">IFERROR(VLOOKUP(B160,SectorMap!A:C,3,0),"–")</f>
        <v>–</v>
      </c>
      <c r="U160" s="93"/>
      <c r="V160" s="93"/>
    </row>
    <row r="161" customFormat="false" ht="18.75" hidden="false" customHeight="true" outlineLevel="0" collapsed="false">
      <c r="A161" s="96"/>
      <c r="B161" s="69" t="s">
        <v>654</v>
      </c>
      <c r="C161" s="96"/>
      <c r="D161" s="96"/>
      <c r="E161" s="96"/>
      <c r="F161" s="96"/>
      <c r="G161" s="61" t="s">
        <v>328</v>
      </c>
      <c r="H161" s="94" t="str">
        <f aca="false">IF(OR(ISBLANK(B161),B161="← Add ticker"),"–",IFERROR(googlefinance("NSE:"&amp;B161,"price"),"–"))</f>
        <v>–</v>
      </c>
      <c r="I161" s="96"/>
      <c r="J161" s="96"/>
      <c r="K161" s="96"/>
      <c r="L161" s="96"/>
      <c r="M161" s="82" t="str">
        <f aca="false">IF(OR(ISBLANK(B161),B161="← Add ticker"),"–",IF(OR(H161="–",NOT(ISNUMBER(H161))),"–",IF(H161&lt;L161,"🔴 SL Hit",IF(AND(ISNUMBER(K161),H161&gt;=K161),"🎯 T3 Hit — Book!",IF(AND(ISNUMBER(J161),H161&gt;=J161),"🎯 T2 Hit — Book!",IF(AND(ISNUMBER(I161),H161&gt;=I161),"🎯 T1 Hit — Book!",IF(AND(ISNUMBER(E161),H161&gt;=E161),"🟡 In/Above Buy Zone","🔻 Below Buy Zone")))))))</f>
        <v>–</v>
      </c>
      <c r="N161" s="83" t="str">
        <f aca="false">IF(M161="🎯 T3 Hit — Book!","🏆 BOOK T3!",IF(M161="🎯 T2 Hit — Book!","🎯 BOOK T2!",IF(M161="🎯 T1 Hit — Book!","📈 BOOK T1!",IF(M161="🔴 SL Hit","⚠️ EXIT NOW!",IF(M161="🟡 In/Above Buy Zone","🔔 BUY NOW!","–")))))</f>
        <v>–</v>
      </c>
      <c r="O161" s="84" t="s">
        <v>362</v>
      </c>
      <c r="P161" s="97" t="str">
        <f aca="false">IF(OR(ISBLANK(H161),H161="–",NOT(ISNUMBER(H161)),E161=0),"–",(H161-E161)/E161)</f>
        <v>–</v>
      </c>
      <c r="Q161" s="96"/>
      <c r="R161" s="96"/>
      <c r="S161" s="60" t="str">
        <f aca="false">IFERROR(VLOOKUP(B161,SectorMap!A:B,2,0),"–")</f>
        <v>–</v>
      </c>
      <c r="T161" s="69" t="str">
        <f aca="false">IFERROR(VLOOKUP(B161,SectorMap!A:C,3,0),"–")</f>
        <v>–</v>
      </c>
      <c r="U161" s="96"/>
      <c r="V161" s="96"/>
    </row>
    <row r="162" customFormat="false" ht="18.75" hidden="false" customHeight="true" outlineLevel="0" collapsed="false">
      <c r="A162" s="93"/>
      <c r="B162" s="55" t="s">
        <v>654</v>
      </c>
      <c r="C162" s="93"/>
      <c r="D162" s="93"/>
      <c r="E162" s="93"/>
      <c r="F162" s="93"/>
      <c r="G162" s="45" t="s">
        <v>328</v>
      </c>
      <c r="H162" s="94" t="str">
        <f aca="false">IF(OR(ISBLANK(B162),B162="← Add ticker"),"–",IFERROR(googlefinance("NSE:"&amp;B162,"price"),"–"))</f>
        <v>–</v>
      </c>
      <c r="I162" s="93"/>
      <c r="J162" s="93"/>
      <c r="K162" s="93"/>
      <c r="L162" s="93"/>
      <c r="M162" s="28" t="str">
        <f aca="false">IF(OR(ISBLANK(B162),B162="← Add ticker"),"–",IF(OR(H162="–",NOT(ISNUMBER(H162))),"–",IF(H162&lt;L162,"🔴 SL Hit",IF(AND(ISNUMBER(K162),H162&gt;=K162),"🎯 T3 Hit — Book!",IF(AND(ISNUMBER(J162),H162&gt;=J162),"🎯 T2 Hit — Book!",IF(AND(ISNUMBER(I162),H162&gt;=I162),"🎯 T1 Hit — Book!",IF(AND(ISNUMBER(E162),H162&gt;=E162),"🟡 In/Above Buy Zone","🔻 Below Buy Zone")))))))</f>
        <v>–</v>
      </c>
      <c r="N162" s="88" t="str">
        <f aca="false">IF(M162="🎯 T3 Hit — Book!","🏆 BOOK T3!",IF(M162="🎯 T2 Hit — Book!","🎯 BOOK T2!",IF(M162="🎯 T1 Hit — Book!","📈 BOOK T1!",IF(M162="🔴 SL Hit","⚠️ EXIT NOW!",IF(M162="🟡 In/Above Buy Zone","🔔 BUY NOW!","–")))))</f>
        <v>–</v>
      </c>
      <c r="O162" s="84" t="s">
        <v>362</v>
      </c>
      <c r="P162" s="95" t="str">
        <f aca="false">IF(OR(ISBLANK(H162),H162="–",NOT(ISNUMBER(H162)),E162=0),"–",(H162-E162)/E162)</f>
        <v>–</v>
      </c>
      <c r="Q162" s="93"/>
      <c r="R162" s="93"/>
      <c r="S162" s="44" t="str">
        <f aca="false">IFERROR(VLOOKUP(B162,SectorMap!A:B,2,0),"–")</f>
        <v>–</v>
      </c>
      <c r="T162" s="55" t="str">
        <f aca="false">IFERROR(VLOOKUP(B162,SectorMap!A:C,3,0),"–")</f>
        <v>–</v>
      </c>
      <c r="U162" s="93"/>
      <c r="V162" s="93"/>
    </row>
    <row r="163" customFormat="false" ht="18.75" hidden="false" customHeight="true" outlineLevel="0" collapsed="false">
      <c r="A163" s="96"/>
      <c r="B163" s="69" t="s">
        <v>654</v>
      </c>
      <c r="C163" s="96"/>
      <c r="D163" s="96"/>
      <c r="E163" s="96"/>
      <c r="F163" s="96"/>
      <c r="G163" s="61" t="s">
        <v>328</v>
      </c>
      <c r="H163" s="94" t="str">
        <f aca="false">IF(OR(ISBLANK(B163),B163="← Add ticker"),"–",IFERROR(googlefinance("NSE:"&amp;B163,"price"),"–"))</f>
        <v>–</v>
      </c>
      <c r="I163" s="96"/>
      <c r="J163" s="96"/>
      <c r="K163" s="96"/>
      <c r="L163" s="96"/>
      <c r="M163" s="82" t="str">
        <f aca="false">IF(OR(ISBLANK(B163),B163="← Add ticker"),"–",IF(OR(H163="–",NOT(ISNUMBER(H163))),"–",IF(H163&lt;L163,"🔴 SL Hit",IF(AND(ISNUMBER(K163),H163&gt;=K163),"🎯 T3 Hit — Book!",IF(AND(ISNUMBER(J163),H163&gt;=J163),"🎯 T2 Hit — Book!",IF(AND(ISNUMBER(I163),H163&gt;=I163),"🎯 T1 Hit — Book!",IF(AND(ISNUMBER(E163),H163&gt;=E163),"🟡 In/Above Buy Zone","🔻 Below Buy Zone")))))))</f>
        <v>–</v>
      </c>
      <c r="N163" s="83" t="str">
        <f aca="false">IF(M163="🎯 T3 Hit — Book!","🏆 BOOK T3!",IF(M163="🎯 T2 Hit — Book!","🎯 BOOK T2!",IF(M163="🎯 T1 Hit — Book!","📈 BOOK T1!",IF(M163="🔴 SL Hit","⚠️ EXIT NOW!",IF(M163="🟡 In/Above Buy Zone","🔔 BUY NOW!","–")))))</f>
        <v>–</v>
      </c>
      <c r="O163" s="84" t="s">
        <v>362</v>
      </c>
      <c r="P163" s="97" t="str">
        <f aca="false">IF(OR(ISBLANK(H163),H163="–",NOT(ISNUMBER(H163)),E163=0),"–",(H163-E163)/E163)</f>
        <v>–</v>
      </c>
      <c r="Q163" s="96"/>
      <c r="R163" s="96"/>
      <c r="S163" s="60" t="str">
        <f aca="false">IFERROR(VLOOKUP(B163,SectorMap!A:B,2,0),"–")</f>
        <v>–</v>
      </c>
      <c r="T163" s="69" t="str">
        <f aca="false">IFERROR(VLOOKUP(B163,SectorMap!A:C,3,0),"–")</f>
        <v>–</v>
      </c>
      <c r="U163" s="96"/>
      <c r="V163" s="96"/>
    </row>
    <row r="164" customFormat="false" ht="18.75" hidden="false" customHeight="true" outlineLevel="0" collapsed="false">
      <c r="A164" s="93"/>
      <c r="B164" s="55" t="s">
        <v>654</v>
      </c>
      <c r="C164" s="93"/>
      <c r="D164" s="93"/>
      <c r="E164" s="93"/>
      <c r="F164" s="93"/>
      <c r="G164" s="45" t="s">
        <v>328</v>
      </c>
      <c r="H164" s="94" t="str">
        <f aca="false">IF(OR(ISBLANK(B164),B164="← Add ticker"),"–",IFERROR(googlefinance("NSE:"&amp;B164,"price"),"–"))</f>
        <v>–</v>
      </c>
      <c r="I164" s="93"/>
      <c r="J164" s="93"/>
      <c r="K164" s="93"/>
      <c r="L164" s="93"/>
      <c r="M164" s="28" t="str">
        <f aca="false">IF(OR(ISBLANK(B164),B164="← Add ticker"),"–",IF(OR(H164="–",NOT(ISNUMBER(H164))),"–",IF(H164&lt;L164,"🔴 SL Hit",IF(AND(ISNUMBER(K164),H164&gt;=K164),"🎯 T3 Hit — Book!",IF(AND(ISNUMBER(J164),H164&gt;=J164),"🎯 T2 Hit — Book!",IF(AND(ISNUMBER(I164),H164&gt;=I164),"🎯 T1 Hit — Book!",IF(AND(ISNUMBER(E164),H164&gt;=E164),"🟡 In/Above Buy Zone","🔻 Below Buy Zone")))))))</f>
        <v>–</v>
      </c>
      <c r="N164" s="88" t="str">
        <f aca="false">IF(M164="🎯 T3 Hit — Book!","🏆 BOOK T3!",IF(M164="🎯 T2 Hit — Book!","🎯 BOOK T2!",IF(M164="🎯 T1 Hit — Book!","📈 BOOK T1!",IF(M164="🔴 SL Hit","⚠️ EXIT NOW!",IF(M164="🟡 In/Above Buy Zone","🔔 BUY NOW!","–")))))</f>
        <v>–</v>
      </c>
      <c r="O164" s="84" t="s">
        <v>362</v>
      </c>
      <c r="P164" s="95" t="str">
        <f aca="false">IF(OR(ISBLANK(H164),H164="–",NOT(ISNUMBER(H164)),E164=0),"–",(H164-E164)/E164)</f>
        <v>–</v>
      </c>
      <c r="Q164" s="93"/>
      <c r="R164" s="93"/>
      <c r="S164" s="44" t="str">
        <f aca="false">IFERROR(VLOOKUP(B164,SectorMap!A:B,2,0),"–")</f>
        <v>–</v>
      </c>
      <c r="T164" s="55" t="str">
        <f aca="false">IFERROR(VLOOKUP(B164,SectorMap!A:C,3,0),"–")</f>
        <v>–</v>
      </c>
      <c r="U164" s="93"/>
      <c r="V164" s="93"/>
    </row>
    <row r="165" customFormat="false" ht="18.75" hidden="false" customHeight="true" outlineLevel="0" collapsed="false">
      <c r="A165" s="96"/>
      <c r="B165" s="69" t="s">
        <v>654</v>
      </c>
      <c r="C165" s="96"/>
      <c r="D165" s="96"/>
      <c r="E165" s="96"/>
      <c r="F165" s="96"/>
      <c r="G165" s="61" t="s">
        <v>328</v>
      </c>
      <c r="H165" s="94" t="str">
        <f aca="false">IF(OR(ISBLANK(B165),B165="← Add ticker"),"–",IFERROR(googlefinance("NSE:"&amp;B165,"price"),"–"))</f>
        <v>–</v>
      </c>
      <c r="I165" s="96"/>
      <c r="J165" s="96"/>
      <c r="K165" s="96"/>
      <c r="L165" s="96"/>
      <c r="M165" s="82" t="str">
        <f aca="false">IF(OR(ISBLANK(B165),B165="← Add ticker"),"–",IF(OR(H165="–",NOT(ISNUMBER(H165))),"–",IF(H165&lt;L165,"🔴 SL Hit",IF(AND(ISNUMBER(K165),H165&gt;=K165),"🎯 T3 Hit — Book!",IF(AND(ISNUMBER(J165),H165&gt;=J165),"🎯 T2 Hit — Book!",IF(AND(ISNUMBER(I165),H165&gt;=I165),"🎯 T1 Hit — Book!",IF(AND(ISNUMBER(E165),H165&gt;=E165),"🟡 In/Above Buy Zone","🔻 Below Buy Zone")))))))</f>
        <v>–</v>
      </c>
      <c r="N165" s="83" t="str">
        <f aca="false">IF(M165="🎯 T3 Hit — Book!","🏆 BOOK T3!",IF(M165="🎯 T2 Hit — Book!","🎯 BOOK T2!",IF(M165="🎯 T1 Hit — Book!","📈 BOOK T1!",IF(M165="🔴 SL Hit","⚠️ EXIT NOW!",IF(M165="🟡 In/Above Buy Zone","🔔 BUY NOW!","–")))))</f>
        <v>–</v>
      </c>
      <c r="O165" s="84" t="s">
        <v>362</v>
      </c>
      <c r="P165" s="97" t="str">
        <f aca="false">IF(OR(ISBLANK(H165),H165="–",NOT(ISNUMBER(H165)),E165=0),"–",(H165-E165)/E165)</f>
        <v>–</v>
      </c>
      <c r="Q165" s="96"/>
      <c r="R165" s="96"/>
      <c r="S165" s="60" t="str">
        <f aca="false">IFERROR(VLOOKUP(B165,SectorMap!A:B,2,0),"–")</f>
        <v>–</v>
      </c>
      <c r="T165" s="69" t="str">
        <f aca="false">IFERROR(VLOOKUP(B165,SectorMap!A:C,3,0),"–")</f>
        <v>–</v>
      </c>
      <c r="U165" s="96"/>
      <c r="V165" s="96"/>
    </row>
    <row r="166" customFormat="false" ht="18.75" hidden="false" customHeight="true" outlineLevel="0" collapsed="false">
      <c r="A166" s="93"/>
      <c r="B166" s="55" t="s">
        <v>654</v>
      </c>
      <c r="C166" s="93"/>
      <c r="D166" s="93"/>
      <c r="E166" s="93"/>
      <c r="F166" s="93"/>
      <c r="G166" s="45" t="s">
        <v>328</v>
      </c>
      <c r="H166" s="94" t="str">
        <f aca="false">IF(OR(ISBLANK(B166),B166="← Add ticker"),"–",IFERROR(googlefinance("NSE:"&amp;B166,"price"),"–"))</f>
        <v>–</v>
      </c>
      <c r="I166" s="93"/>
      <c r="J166" s="93"/>
      <c r="K166" s="93"/>
      <c r="L166" s="93"/>
      <c r="M166" s="28" t="str">
        <f aca="false">IF(OR(ISBLANK(B166),B166="← Add ticker"),"–",IF(OR(H166="–",NOT(ISNUMBER(H166))),"–",IF(H166&lt;L166,"🔴 SL Hit",IF(AND(ISNUMBER(K166),H166&gt;=K166),"🎯 T3 Hit — Book!",IF(AND(ISNUMBER(J166),H166&gt;=J166),"🎯 T2 Hit — Book!",IF(AND(ISNUMBER(I166),H166&gt;=I166),"🎯 T1 Hit — Book!",IF(AND(ISNUMBER(E166),H166&gt;=E166),"🟡 In/Above Buy Zone","🔻 Below Buy Zone")))))))</f>
        <v>–</v>
      </c>
      <c r="N166" s="88" t="str">
        <f aca="false">IF(M166="🎯 T3 Hit — Book!","🏆 BOOK T3!",IF(M166="🎯 T2 Hit — Book!","🎯 BOOK T2!",IF(M166="🎯 T1 Hit — Book!","📈 BOOK T1!",IF(M166="🔴 SL Hit","⚠️ EXIT NOW!",IF(M166="🟡 In/Above Buy Zone","🔔 BUY NOW!","–")))))</f>
        <v>–</v>
      </c>
      <c r="O166" s="84" t="s">
        <v>362</v>
      </c>
      <c r="P166" s="95" t="str">
        <f aca="false">IF(OR(ISBLANK(H166),H166="–",NOT(ISNUMBER(H166)),E166=0),"–",(H166-E166)/E166)</f>
        <v>–</v>
      </c>
      <c r="Q166" s="93"/>
      <c r="R166" s="93"/>
      <c r="S166" s="44" t="str">
        <f aca="false">IFERROR(VLOOKUP(B166,SectorMap!A:B,2,0),"–")</f>
        <v>–</v>
      </c>
      <c r="T166" s="55" t="str">
        <f aca="false">IFERROR(VLOOKUP(B166,SectorMap!A:C,3,0),"–")</f>
        <v>–</v>
      </c>
      <c r="U166" s="93"/>
      <c r="V166" s="93"/>
    </row>
    <row r="167" customFormat="false" ht="18.75" hidden="false" customHeight="true" outlineLevel="0" collapsed="false">
      <c r="A167" s="96"/>
      <c r="B167" s="69" t="s">
        <v>654</v>
      </c>
      <c r="C167" s="96"/>
      <c r="D167" s="96"/>
      <c r="E167" s="96"/>
      <c r="F167" s="96"/>
      <c r="G167" s="61" t="s">
        <v>328</v>
      </c>
      <c r="H167" s="94" t="str">
        <f aca="false">IF(OR(ISBLANK(B167),B167="← Add ticker"),"–",IFERROR(googlefinance("NSE:"&amp;B167,"price"),"–"))</f>
        <v>–</v>
      </c>
      <c r="I167" s="96"/>
      <c r="J167" s="96"/>
      <c r="K167" s="96"/>
      <c r="L167" s="96"/>
      <c r="M167" s="82" t="str">
        <f aca="false">IF(OR(ISBLANK(B167),B167="← Add ticker"),"–",IF(OR(H167="–",NOT(ISNUMBER(H167))),"–",IF(H167&lt;L167,"🔴 SL Hit",IF(AND(ISNUMBER(K167),H167&gt;=K167),"🎯 T3 Hit — Book!",IF(AND(ISNUMBER(J167),H167&gt;=J167),"🎯 T2 Hit — Book!",IF(AND(ISNUMBER(I167),H167&gt;=I167),"🎯 T1 Hit — Book!",IF(AND(ISNUMBER(E167),H167&gt;=E167),"🟡 In/Above Buy Zone","🔻 Below Buy Zone")))))))</f>
        <v>–</v>
      </c>
      <c r="N167" s="83" t="str">
        <f aca="false">IF(M167="🎯 T3 Hit — Book!","🏆 BOOK T3!",IF(M167="🎯 T2 Hit — Book!","🎯 BOOK T2!",IF(M167="🎯 T1 Hit — Book!","📈 BOOK T1!",IF(M167="🔴 SL Hit","⚠️ EXIT NOW!",IF(M167="🟡 In/Above Buy Zone","🔔 BUY NOW!","–")))))</f>
        <v>–</v>
      </c>
      <c r="O167" s="84" t="s">
        <v>362</v>
      </c>
      <c r="P167" s="97" t="str">
        <f aca="false">IF(OR(ISBLANK(H167),H167="–",NOT(ISNUMBER(H167)),E167=0),"–",(H167-E167)/E167)</f>
        <v>–</v>
      </c>
      <c r="Q167" s="96"/>
      <c r="R167" s="96"/>
      <c r="S167" s="60" t="str">
        <f aca="false">IFERROR(VLOOKUP(B167,SectorMap!A:B,2,0),"–")</f>
        <v>–</v>
      </c>
      <c r="T167" s="69" t="str">
        <f aca="false">IFERROR(VLOOKUP(B167,SectorMap!A:C,3,0),"–")</f>
        <v>–</v>
      </c>
      <c r="U167" s="96"/>
      <c r="V167" s="96"/>
    </row>
  </sheetData>
  <mergeCells count="3">
    <mergeCell ref="A1:V1"/>
    <mergeCell ref="A2:V2"/>
    <mergeCell ref="A3:V3"/>
  </mergeCells>
  <conditionalFormatting sqref="A5:V167">
    <cfRule type="expression" priority="2" aboveAverage="0" equalAverage="0" bottom="0" percent="0" rank="0" text="" dxfId="0">
      <formula>$O5="WIN"</formula>
    </cfRule>
    <cfRule type="expression" priority="3" aboveAverage="0" equalAverage="0" bottom="0" percent="0" rank="0" text="" dxfId="1">
      <formula>$O5="LOSS"</formula>
    </cfRule>
    <cfRule type="expression" priority="4" aboveAverage="0" equalAverage="0" bottom="0" percent="0" rank="0" text="" dxfId="2">
      <formula>$M5="🟡 In/Above Buy Zone"</formula>
    </cfRule>
    <cfRule type="expression" priority="5" aboveAverage="0" equalAverage="0" bottom="0" percent="0" rank="0" text="" dxfId="3">
      <formula>$M5="🎯 T1 Hit — Book!"</formula>
    </cfRule>
    <cfRule type="expression" priority="6" aboveAverage="0" equalAverage="0" bottom="0" percent="0" rank="0" text="" dxfId="4">
      <formula>$M5="🎯 T2 Hit — Book!"</formula>
    </cfRule>
    <cfRule type="expression" priority="7" aboveAverage="0" equalAverage="0" bottom="0" percent="0" rank="0" text="" dxfId="5">
      <formula>$M5="🎯 T3 Hit — Book!"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8" min="4" style="0" width="10"/>
    <col collapsed="false" customWidth="true" hidden="false" outlineLevel="0" max="10" min="9" style="0" width="12"/>
  </cols>
  <sheetData>
    <row r="1" customFormat="false" ht="25.5" hidden="false" customHeight="true" outlineLevel="0" collapsed="false">
      <c r="A1" s="98" t="s">
        <v>655</v>
      </c>
      <c r="B1" s="98"/>
      <c r="C1" s="98"/>
      <c r="D1" s="98"/>
      <c r="E1" s="98"/>
      <c r="F1" s="98"/>
      <c r="G1" s="98"/>
      <c r="H1" s="98"/>
      <c r="I1" s="98"/>
      <c r="J1" s="98"/>
    </row>
    <row r="2" customFormat="false" ht="13.5" hidden="false" customHeight="true" outlineLevel="0" collapsed="false">
      <c r="A2" s="3" t="s">
        <v>656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A4" s="15" t="s">
        <v>657</v>
      </c>
      <c r="B4" s="15"/>
      <c r="C4" s="15"/>
      <c r="D4" s="15"/>
      <c r="E4" s="15"/>
      <c r="F4" s="15"/>
      <c r="G4" s="15"/>
      <c r="H4" s="15"/>
      <c r="I4" s="15"/>
      <c r="J4" s="15"/>
    </row>
    <row r="5" customFormat="false" ht="19.5" hidden="false" customHeight="true" outlineLevel="0" collapsed="false">
      <c r="A5" s="5" t="s">
        <v>305</v>
      </c>
      <c r="B5" s="5" t="s">
        <v>295</v>
      </c>
      <c r="C5" s="5" t="s">
        <v>306</v>
      </c>
      <c r="D5" s="5" t="s">
        <v>296</v>
      </c>
      <c r="E5" s="5" t="s">
        <v>658</v>
      </c>
      <c r="F5" s="5" t="s">
        <v>312</v>
      </c>
      <c r="G5" s="5" t="s">
        <v>313</v>
      </c>
      <c r="H5" s="5" t="s">
        <v>314</v>
      </c>
      <c r="I5" s="5" t="s">
        <v>659</v>
      </c>
      <c r="J5" s="5" t="s">
        <v>316</v>
      </c>
    </row>
    <row r="6" customFormat="false" ht="18.75" hidden="false" customHeight="true" outlineLevel="0" collapsed="false">
      <c r="A6" s="99" t="n">
        <v>1</v>
      </c>
      <c r="B6" s="99" t="s">
        <v>268</v>
      </c>
      <c r="C6" s="100" t="s">
        <v>268</v>
      </c>
      <c r="D6" s="100" t="s">
        <v>356</v>
      </c>
      <c r="E6" s="101" t="n">
        <v>100</v>
      </c>
      <c r="F6" s="102" t="n">
        <v>120</v>
      </c>
      <c r="G6" s="102" t="n">
        <v>125</v>
      </c>
      <c r="H6" s="102" t="s">
        <v>361</v>
      </c>
      <c r="I6" s="103" t="n">
        <v>95</v>
      </c>
      <c r="J6" s="104" t="str">
        <f aca="false">'Trade Tracker'!M12</f>
        <v>–</v>
      </c>
    </row>
    <row r="7" customFormat="false" ht="18.75" hidden="false" customHeight="true" outlineLevel="0" collapsed="false">
      <c r="A7" s="16" t="n">
        <v>2</v>
      </c>
      <c r="B7" s="16" t="s">
        <v>260</v>
      </c>
      <c r="C7" s="105" t="s">
        <v>260</v>
      </c>
      <c r="D7" s="105" t="s">
        <v>382</v>
      </c>
      <c r="E7" s="46" t="n">
        <v>45</v>
      </c>
      <c r="F7" s="49" t="n">
        <v>50</v>
      </c>
      <c r="G7" s="49" t="n">
        <v>55</v>
      </c>
      <c r="H7" s="49" t="n">
        <v>60</v>
      </c>
      <c r="I7" s="50" t="n">
        <v>40</v>
      </c>
      <c r="J7" s="106" t="str">
        <f aca="false">'Trade Tracker'!M19</f>
        <v>–</v>
      </c>
    </row>
    <row r="8" customFormat="false" ht="18.75" hidden="false" customHeight="true" outlineLevel="0" collapsed="false">
      <c r="A8" s="99" t="n">
        <v>3</v>
      </c>
      <c r="B8" s="99" t="s">
        <v>262</v>
      </c>
      <c r="C8" s="100" t="s">
        <v>385</v>
      </c>
      <c r="D8" s="100" t="s">
        <v>382</v>
      </c>
      <c r="E8" s="101" t="n">
        <v>850</v>
      </c>
      <c r="F8" s="102" t="n">
        <v>890</v>
      </c>
      <c r="G8" s="102" t="n">
        <v>1000</v>
      </c>
      <c r="H8" s="102" t="s">
        <v>361</v>
      </c>
      <c r="I8" s="103" t="n">
        <v>800</v>
      </c>
      <c r="J8" s="104" t="str">
        <f aca="false">'Trade Tracker'!M20</f>
        <v>–</v>
      </c>
    </row>
    <row r="9" customFormat="false" ht="18.75" hidden="false" customHeight="true" outlineLevel="0" collapsed="false">
      <c r="A9" s="16" t="n">
        <v>4</v>
      </c>
      <c r="B9" s="16" t="s">
        <v>266</v>
      </c>
      <c r="C9" s="105" t="s">
        <v>389</v>
      </c>
      <c r="D9" s="105" t="s">
        <v>390</v>
      </c>
      <c r="E9" s="46" t="n">
        <v>460</v>
      </c>
      <c r="F9" s="49" t="n">
        <v>525</v>
      </c>
      <c r="G9" s="49" t="n">
        <v>550</v>
      </c>
      <c r="H9" s="49" t="n">
        <v>600</v>
      </c>
      <c r="I9" s="50" t="n">
        <v>425</v>
      </c>
      <c r="J9" s="106" t="str">
        <f aca="false">'Trade Tracker'!M22</f>
        <v>–</v>
      </c>
    </row>
    <row r="10" customFormat="false" ht="18.75" hidden="false" customHeight="true" outlineLevel="0" collapsed="false">
      <c r="A10" s="99" t="n">
        <v>5</v>
      </c>
      <c r="B10" s="99" t="s">
        <v>274</v>
      </c>
      <c r="C10" s="100" t="s">
        <v>400</v>
      </c>
      <c r="D10" s="100" t="s">
        <v>401</v>
      </c>
      <c r="E10" s="101" t="n">
        <v>15</v>
      </c>
      <c r="F10" s="102" t="n">
        <v>16</v>
      </c>
      <c r="G10" s="102" t="n">
        <v>17</v>
      </c>
      <c r="H10" s="102" t="n">
        <v>18</v>
      </c>
      <c r="I10" s="103" t="n">
        <v>12.5</v>
      </c>
      <c r="J10" s="104" t="str">
        <f aca="false">'Trade Tracker'!M26</f>
        <v>–</v>
      </c>
    </row>
    <row r="11" customFormat="false" ht="18.75" hidden="false" customHeight="true" outlineLevel="0" collapsed="false">
      <c r="A11" s="16" t="n">
        <v>6</v>
      </c>
      <c r="B11" s="16" t="s">
        <v>276</v>
      </c>
      <c r="C11" s="105" t="s">
        <v>402</v>
      </c>
      <c r="D11" s="105" t="s">
        <v>403</v>
      </c>
      <c r="E11" s="46" t="n">
        <v>60</v>
      </c>
      <c r="F11" s="49" t="n">
        <v>70</v>
      </c>
      <c r="G11" s="49" t="n">
        <v>75</v>
      </c>
      <c r="H11" s="49" t="s">
        <v>361</v>
      </c>
      <c r="I11" s="50" t="n">
        <v>55</v>
      </c>
      <c r="J11" s="106" t="str">
        <f aca="false">'Trade Tracker'!M27</f>
        <v>–</v>
      </c>
    </row>
    <row r="12" customFormat="false" ht="18.75" hidden="false" customHeight="true" outlineLevel="0" collapsed="false">
      <c r="A12" s="99" t="n">
        <v>7</v>
      </c>
      <c r="B12" s="99" t="s">
        <v>232</v>
      </c>
      <c r="C12" s="100" t="s">
        <v>415</v>
      </c>
      <c r="D12" s="100" t="s">
        <v>416</v>
      </c>
      <c r="E12" s="101" t="n">
        <v>1000</v>
      </c>
      <c r="F12" s="102" t="n">
        <v>1100</v>
      </c>
      <c r="G12" s="102" t="n">
        <v>1200</v>
      </c>
      <c r="H12" s="102" t="n">
        <v>1500</v>
      </c>
      <c r="I12" s="103" t="n">
        <v>950</v>
      </c>
      <c r="J12" s="104" t="str">
        <f aca="false">'Trade Tracker'!M32</f>
        <v>–</v>
      </c>
    </row>
    <row r="13" customFormat="false" ht="18.75" hidden="false" customHeight="true" outlineLevel="0" collapsed="false">
      <c r="A13" s="16" t="n">
        <v>8</v>
      </c>
      <c r="B13" s="16" t="s">
        <v>217</v>
      </c>
      <c r="C13" s="105" t="s">
        <v>437</v>
      </c>
      <c r="D13" s="105" t="s">
        <v>438</v>
      </c>
      <c r="E13" s="46" t="n">
        <v>180</v>
      </c>
      <c r="F13" s="49" t="n">
        <v>200</v>
      </c>
      <c r="G13" s="49" t="n">
        <v>210</v>
      </c>
      <c r="H13" s="49" t="n">
        <v>240</v>
      </c>
      <c r="I13" s="50" t="n">
        <v>178</v>
      </c>
      <c r="J13" s="106" t="str">
        <f aca="false">'Trade Tracker'!M41</f>
        <v>–</v>
      </c>
    </row>
    <row r="14" customFormat="false" ht="18.75" hidden="false" customHeight="true" outlineLevel="0" collapsed="false">
      <c r="A14" s="99" t="n">
        <v>9</v>
      </c>
      <c r="B14" s="99" t="s">
        <v>196</v>
      </c>
      <c r="C14" s="100" t="s">
        <v>196</v>
      </c>
      <c r="D14" s="100" t="s">
        <v>459</v>
      </c>
      <c r="E14" s="101" t="n">
        <v>275</v>
      </c>
      <c r="F14" s="102" t="n">
        <v>320</v>
      </c>
      <c r="G14" s="102" t="n">
        <v>350</v>
      </c>
      <c r="H14" s="102" t="s">
        <v>361</v>
      </c>
      <c r="I14" s="103" t="n">
        <v>250</v>
      </c>
      <c r="J14" s="104" t="str">
        <f aca="false">'Trade Tracker'!M51</f>
        <v>–</v>
      </c>
    </row>
    <row r="15" customFormat="false" ht="18.75" hidden="false" customHeight="true" outlineLevel="0" collapsed="false">
      <c r="A15" s="16" t="n">
        <v>10</v>
      </c>
      <c r="B15" s="16" t="s">
        <v>191</v>
      </c>
      <c r="C15" s="105" t="s">
        <v>191</v>
      </c>
      <c r="D15" s="105" t="s">
        <v>418</v>
      </c>
      <c r="E15" s="46" t="n">
        <v>430</v>
      </c>
      <c r="F15" s="49" t="n">
        <v>460</v>
      </c>
      <c r="G15" s="49" t="n">
        <v>475</v>
      </c>
      <c r="H15" s="49" t="n">
        <v>500</v>
      </c>
      <c r="I15" s="50" t="n">
        <v>400</v>
      </c>
      <c r="J15" s="106" t="str">
        <f aca="false">'Trade Tracker'!M54</f>
        <v>–</v>
      </c>
    </row>
    <row r="16" customFormat="false" ht="18.75" hidden="false" customHeight="true" outlineLevel="0" collapsed="false">
      <c r="A16" s="99" t="n">
        <v>11</v>
      </c>
      <c r="B16" s="99" t="s">
        <v>177</v>
      </c>
      <c r="C16" s="100" t="s">
        <v>473</v>
      </c>
      <c r="D16" s="100" t="s">
        <v>474</v>
      </c>
      <c r="E16" s="101" t="n">
        <v>250</v>
      </c>
      <c r="F16" s="102" t="n">
        <v>275</v>
      </c>
      <c r="G16" s="102" t="n">
        <v>290</v>
      </c>
      <c r="H16" s="102" t="n">
        <v>300</v>
      </c>
      <c r="I16" s="103" t="n">
        <v>225</v>
      </c>
      <c r="J16" s="104" t="str">
        <f aca="false">'Trade Tracker'!M58</f>
        <v>–</v>
      </c>
    </row>
    <row r="17" customFormat="false" ht="18.75" hidden="false" customHeight="true" outlineLevel="0" collapsed="false">
      <c r="A17" s="16" t="n">
        <v>12</v>
      </c>
      <c r="B17" s="16" t="s">
        <v>175</v>
      </c>
      <c r="C17" s="105" t="s">
        <v>482</v>
      </c>
      <c r="D17" s="105" t="s">
        <v>456</v>
      </c>
      <c r="E17" s="46" t="n">
        <v>640</v>
      </c>
      <c r="F17" s="49" t="n">
        <v>700</v>
      </c>
      <c r="G17" s="49" t="n">
        <v>740</v>
      </c>
      <c r="H17" s="49" t="n">
        <v>800</v>
      </c>
      <c r="I17" s="50" t="n">
        <v>625</v>
      </c>
      <c r="J17" s="106" t="str">
        <f aca="false">'Trade Tracker'!M64</f>
        <v>–</v>
      </c>
    </row>
    <row r="18" customFormat="false" ht="18.75" hidden="false" customHeight="true" outlineLevel="0" collapsed="false">
      <c r="A18" s="99" t="n">
        <v>13</v>
      </c>
      <c r="B18" s="99" t="s">
        <v>163</v>
      </c>
      <c r="C18" s="100" t="s">
        <v>163</v>
      </c>
      <c r="D18" s="100" t="s">
        <v>464</v>
      </c>
      <c r="E18" s="101" t="n">
        <v>360</v>
      </c>
      <c r="F18" s="102" t="n">
        <v>380</v>
      </c>
      <c r="G18" s="102" t="n">
        <v>395</v>
      </c>
      <c r="H18" s="102" t="n">
        <v>420</v>
      </c>
      <c r="I18" s="103" t="n">
        <v>325</v>
      </c>
      <c r="J18" s="104" t="str">
        <f aca="false">'Trade Tracker'!M74</f>
        <v>–</v>
      </c>
    </row>
    <row r="19" customFormat="false" ht="18.75" hidden="false" customHeight="true" outlineLevel="0" collapsed="false">
      <c r="A19" s="16" t="n">
        <v>14</v>
      </c>
      <c r="B19" s="16" t="s">
        <v>165</v>
      </c>
      <c r="C19" s="105" t="s">
        <v>503</v>
      </c>
      <c r="D19" s="105" t="s">
        <v>464</v>
      </c>
      <c r="E19" s="46" t="n">
        <v>645</v>
      </c>
      <c r="F19" s="49" t="n">
        <v>675</v>
      </c>
      <c r="G19" s="49" t="n">
        <v>725</v>
      </c>
      <c r="H19" s="49" t="s">
        <v>361</v>
      </c>
      <c r="I19" s="50" t="n">
        <v>600</v>
      </c>
      <c r="J19" s="106" t="str">
        <f aca="false">'Trade Tracker'!M75</f>
        <v>–</v>
      </c>
    </row>
    <row r="20" customFormat="false" ht="18.75" hidden="false" customHeight="true" outlineLevel="0" collapsed="false">
      <c r="A20" s="99" t="n">
        <v>15</v>
      </c>
      <c r="B20" s="99" t="s">
        <v>110</v>
      </c>
      <c r="C20" s="100" t="s">
        <v>508</v>
      </c>
      <c r="D20" s="100" t="s">
        <v>509</v>
      </c>
      <c r="E20" s="101" t="n">
        <v>2150</v>
      </c>
      <c r="F20" s="102" t="n">
        <v>2200</v>
      </c>
      <c r="G20" s="102" t="n">
        <v>2300</v>
      </c>
      <c r="H20" s="102" t="n">
        <v>2400</v>
      </c>
      <c r="I20" s="103" t="n">
        <v>2025</v>
      </c>
      <c r="J20" s="104" t="str">
        <f aca="false">'Trade Tracker'!M78</f>
        <v>–</v>
      </c>
    </row>
    <row r="21" customFormat="false" ht="18.75" hidden="false" customHeight="true" outlineLevel="0" collapsed="false">
      <c r="A21" s="16" t="n">
        <v>16</v>
      </c>
      <c r="B21" s="16" t="s">
        <v>101</v>
      </c>
      <c r="C21" s="105" t="s">
        <v>525</v>
      </c>
      <c r="D21" s="105" t="s">
        <v>526</v>
      </c>
      <c r="E21" s="46" t="n">
        <v>950</v>
      </c>
      <c r="F21" s="49" t="n">
        <v>1000</v>
      </c>
      <c r="G21" s="49" t="n">
        <v>1050</v>
      </c>
      <c r="H21" s="49" t="n">
        <v>1200</v>
      </c>
      <c r="I21" s="50" t="n">
        <v>900</v>
      </c>
      <c r="J21" s="106" t="str">
        <f aca="false">'Trade Tracker'!M84</f>
        <v>–</v>
      </c>
    </row>
    <row r="22" customFormat="false" ht="18.75" hidden="false" customHeight="true" outlineLevel="0" collapsed="false">
      <c r="A22" s="99" t="n">
        <v>17</v>
      </c>
      <c r="B22" s="99" t="s">
        <v>87</v>
      </c>
      <c r="C22" s="100" t="s">
        <v>87</v>
      </c>
      <c r="D22" s="100" t="s">
        <v>454</v>
      </c>
      <c r="E22" s="101" t="n">
        <v>457</v>
      </c>
      <c r="F22" s="102" t="n">
        <v>480</v>
      </c>
      <c r="G22" s="102" t="n">
        <v>500</v>
      </c>
      <c r="H22" s="102" t="n">
        <v>525</v>
      </c>
      <c r="I22" s="103" t="n">
        <v>430</v>
      </c>
      <c r="J22" s="104" t="str">
        <f aca="false">'Trade Tracker'!M88</f>
        <v>–</v>
      </c>
    </row>
    <row r="23" customFormat="false" ht="18.75" hidden="false" customHeight="true" outlineLevel="0" collapsed="false">
      <c r="A23" s="16" t="n">
        <v>18</v>
      </c>
      <c r="B23" s="16" t="s">
        <v>79</v>
      </c>
      <c r="C23" s="105" t="s">
        <v>567</v>
      </c>
      <c r="D23" s="105" t="s">
        <v>568</v>
      </c>
      <c r="E23" s="46" t="n">
        <v>3000</v>
      </c>
      <c r="F23" s="49" t="n">
        <v>3300</v>
      </c>
      <c r="G23" s="49" t="n">
        <v>3800</v>
      </c>
      <c r="H23" s="49" t="n">
        <v>4000</v>
      </c>
      <c r="I23" s="50" t="n">
        <v>2800</v>
      </c>
      <c r="J23" s="106" t="str">
        <f aca="false">'Trade Tracker'!M101</f>
        <v>–</v>
      </c>
    </row>
    <row r="24" customFormat="false" ht="18.75" hidden="false" customHeight="true" outlineLevel="0" collapsed="false">
      <c r="A24" s="99" t="n">
        <v>19</v>
      </c>
      <c r="B24" s="99" t="s">
        <v>31</v>
      </c>
      <c r="C24" s="100" t="s">
        <v>605</v>
      </c>
      <c r="D24" s="100" t="s">
        <v>497</v>
      </c>
      <c r="E24" s="101" t="n">
        <v>440</v>
      </c>
      <c r="F24" s="102" t="n">
        <v>500</v>
      </c>
      <c r="G24" s="102" t="n">
        <v>550</v>
      </c>
      <c r="H24" s="102" t="n">
        <v>600</v>
      </c>
      <c r="I24" s="103" t="n">
        <v>385</v>
      </c>
      <c r="J24" s="104" t="str">
        <f aca="false">'Trade Tracker'!M115</f>
        <v>–</v>
      </c>
    </row>
    <row r="25" customFormat="false" ht="18.75" hidden="false" customHeight="true" outlineLevel="0" collapsed="false">
      <c r="A25" s="16" t="n">
        <v>20</v>
      </c>
      <c r="B25" s="16" t="s">
        <v>62</v>
      </c>
      <c r="C25" s="105" t="s">
        <v>62</v>
      </c>
      <c r="D25" s="105" t="s">
        <v>616</v>
      </c>
      <c r="E25" s="46" t="n">
        <v>40</v>
      </c>
      <c r="F25" s="49" t="n">
        <v>60</v>
      </c>
      <c r="G25" s="49" t="n">
        <v>100</v>
      </c>
      <c r="H25" s="49" t="n">
        <v>150</v>
      </c>
      <c r="I25" s="50" t="n">
        <v>35</v>
      </c>
      <c r="J25" s="106" t="str">
        <f aca="false">'Trade Tracker'!M120</f>
        <v>–</v>
      </c>
    </row>
    <row r="26" customFormat="false" ht="18.75" hidden="false" customHeight="true" outlineLevel="0" collapsed="false">
      <c r="A26" s="99" t="n">
        <v>21</v>
      </c>
      <c r="B26" s="99" t="s">
        <v>58</v>
      </c>
      <c r="C26" s="100" t="s">
        <v>636</v>
      </c>
      <c r="D26" s="100" t="s">
        <v>637</v>
      </c>
      <c r="E26" s="101" t="n">
        <v>1000</v>
      </c>
      <c r="F26" s="102" t="n">
        <v>1175</v>
      </c>
      <c r="G26" s="102" t="n">
        <v>1200</v>
      </c>
      <c r="H26" s="102" t="n">
        <v>1225</v>
      </c>
      <c r="I26" s="103" t="n">
        <v>975</v>
      </c>
      <c r="J26" s="104" t="str">
        <f aca="false">'Trade Tracker'!M129</f>
        <v>–</v>
      </c>
    </row>
    <row r="27" customFormat="false" ht="18.75" hidden="false" customHeight="true" outlineLevel="0" collapsed="false">
      <c r="A27" s="16" t="n">
        <v>22</v>
      </c>
      <c r="B27" s="16" t="s">
        <v>51</v>
      </c>
      <c r="C27" s="105" t="s">
        <v>640</v>
      </c>
      <c r="D27" s="105" t="s">
        <v>584</v>
      </c>
      <c r="E27" s="46" t="n">
        <v>900</v>
      </c>
      <c r="F27" s="49" t="n">
        <v>1250</v>
      </c>
      <c r="G27" s="49" t="n">
        <v>1350</v>
      </c>
      <c r="H27" s="49" t="n">
        <v>1500</v>
      </c>
      <c r="I27" s="50" t="n">
        <v>700</v>
      </c>
      <c r="J27" s="106" t="str">
        <f aca="false">'Trade Tracker'!M131</f>
        <v>–</v>
      </c>
    </row>
    <row r="28" customFormat="false" ht="18.75" hidden="false" customHeight="true" outlineLevel="0" collapsed="false">
      <c r="A28" s="99" t="n">
        <v>23</v>
      </c>
      <c r="B28" s="99" t="s">
        <v>48</v>
      </c>
      <c r="C28" s="100" t="s">
        <v>644</v>
      </c>
      <c r="D28" s="100" t="s">
        <v>645</v>
      </c>
      <c r="E28" s="101" t="n">
        <v>156</v>
      </c>
      <c r="F28" s="102" t="n">
        <v>166</v>
      </c>
      <c r="G28" s="102" t="n">
        <v>172</v>
      </c>
      <c r="H28" s="102" t="n">
        <v>180</v>
      </c>
      <c r="I28" s="103" t="n">
        <v>155</v>
      </c>
      <c r="J28" s="104" t="str">
        <f aca="false">'Trade Tracker'!M133</f>
        <v>–</v>
      </c>
    </row>
    <row r="29" customFormat="false" ht="18.75" hidden="false" customHeight="true" outlineLevel="0" collapsed="false">
      <c r="A29" s="16" t="n">
        <v>24</v>
      </c>
      <c r="B29" s="16" t="s">
        <v>42</v>
      </c>
      <c r="C29" s="105" t="s">
        <v>653</v>
      </c>
      <c r="D29" s="105" t="s">
        <v>607</v>
      </c>
      <c r="E29" s="46" t="n">
        <v>1150</v>
      </c>
      <c r="F29" s="49" t="n">
        <v>1500</v>
      </c>
      <c r="G29" s="49" t="n">
        <v>1750</v>
      </c>
      <c r="H29" s="49" t="n">
        <v>2000</v>
      </c>
      <c r="I29" s="50" t="n">
        <v>600</v>
      </c>
      <c r="J29" s="106" t="str">
        <f aca="false">'Trade Tracker'!M137</f>
        <v>–</v>
      </c>
    </row>
    <row r="30" customFormat="false" ht="18.75" hidden="false" customHeight="true" outlineLevel="0" collapsed="false">
      <c r="A30" s="99" t="n">
        <v>25</v>
      </c>
      <c r="B30" s="99" t="s">
        <v>654</v>
      </c>
      <c r="C30" s="100"/>
      <c r="D30" s="100"/>
      <c r="E30" s="107" t="s">
        <v>361</v>
      </c>
      <c r="F30" s="108" t="s">
        <v>361</v>
      </c>
      <c r="G30" s="108" t="s">
        <v>361</v>
      </c>
      <c r="H30" s="108" t="s">
        <v>361</v>
      </c>
      <c r="I30" s="109" t="s">
        <v>361</v>
      </c>
      <c r="J30" s="104" t="str">
        <f aca="false">'Trade Tracker'!M138</f>
        <v>–</v>
      </c>
    </row>
    <row r="31" customFormat="false" ht="18.75" hidden="false" customHeight="true" outlineLevel="0" collapsed="false">
      <c r="A31" s="16" t="n">
        <v>26</v>
      </c>
      <c r="B31" s="16" t="s">
        <v>654</v>
      </c>
      <c r="C31" s="105"/>
      <c r="D31" s="105"/>
      <c r="E31" s="18" t="s">
        <v>361</v>
      </c>
      <c r="F31" s="92" t="s">
        <v>361</v>
      </c>
      <c r="G31" s="92" t="s">
        <v>361</v>
      </c>
      <c r="H31" s="92" t="s">
        <v>361</v>
      </c>
      <c r="I31" s="110" t="s">
        <v>361</v>
      </c>
      <c r="J31" s="106" t="str">
        <f aca="false">'Trade Tracker'!M139</f>
        <v>–</v>
      </c>
    </row>
    <row r="32" customFormat="false" ht="18.75" hidden="false" customHeight="true" outlineLevel="0" collapsed="false">
      <c r="A32" s="99" t="n">
        <v>27</v>
      </c>
      <c r="B32" s="99" t="s">
        <v>654</v>
      </c>
      <c r="C32" s="100"/>
      <c r="D32" s="100"/>
      <c r="E32" s="107" t="s">
        <v>361</v>
      </c>
      <c r="F32" s="108" t="s">
        <v>361</v>
      </c>
      <c r="G32" s="108" t="s">
        <v>361</v>
      </c>
      <c r="H32" s="108" t="s">
        <v>361</v>
      </c>
      <c r="I32" s="109" t="s">
        <v>361</v>
      </c>
      <c r="J32" s="104" t="str">
        <f aca="false">'Trade Tracker'!M140</f>
        <v>–</v>
      </c>
    </row>
    <row r="33" customFormat="false" ht="18.75" hidden="false" customHeight="true" outlineLevel="0" collapsed="false">
      <c r="A33" s="16" t="n">
        <v>28</v>
      </c>
      <c r="B33" s="16" t="s">
        <v>654</v>
      </c>
      <c r="C33" s="105"/>
      <c r="D33" s="105"/>
      <c r="E33" s="18" t="s">
        <v>361</v>
      </c>
      <c r="F33" s="92" t="s">
        <v>361</v>
      </c>
      <c r="G33" s="92" t="s">
        <v>361</v>
      </c>
      <c r="H33" s="92" t="s">
        <v>361</v>
      </c>
      <c r="I33" s="110" t="s">
        <v>361</v>
      </c>
      <c r="J33" s="106" t="str">
        <f aca="false">'Trade Tracker'!M141</f>
        <v>–</v>
      </c>
    </row>
    <row r="34" customFormat="false" ht="18.75" hidden="false" customHeight="true" outlineLevel="0" collapsed="false">
      <c r="A34" s="99" t="n">
        <v>29</v>
      </c>
      <c r="B34" s="99" t="s">
        <v>654</v>
      </c>
      <c r="C34" s="100"/>
      <c r="D34" s="100"/>
      <c r="E34" s="107" t="s">
        <v>361</v>
      </c>
      <c r="F34" s="108" t="s">
        <v>361</v>
      </c>
      <c r="G34" s="108" t="s">
        <v>361</v>
      </c>
      <c r="H34" s="108" t="s">
        <v>361</v>
      </c>
      <c r="I34" s="109" t="s">
        <v>361</v>
      </c>
      <c r="J34" s="104" t="str">
        <f aca="false">'Trade Tracker'!M142</f>
        <v>–</v>
      </c>
    </row>
    <row r="35" customFormat="false" ht="18.75" hidden="false" customHeight="true" outlineLevel="0" collapsed="false">
      <c r="A35" s="16" t="n">
        <v>30</v>
      </c>
      <c r="B35" s="16" t="s">
        <v>654</v>
      </c>
      <c r="C35" s="105"/>
      <c r="D35" s="105"/>
      <c r="E35" s="18" t="s">
        <v>361</v>
      </c>
      <c r="F35" s="92" t="s">
        <v>361</v>
      </c>
      <c r="G35" s="92" t="s">
        <v>361</v>
      </c>
      <c r="H35" s="92" t="s">
        <v>361</v>
      </c>
      <c r="I35" s="110" t="s">
        <v>361</v>
      </c>
      <c r="J35" s="106" t="str">
        <f aca="false">'Trade Tracker'!M143</f>
        <v>–</v>
      </c>
    </row>
    <row r="36" customFormat="false" ht="18.75" hidden="false" customHeight="true" outlineLevel="0" collapsed="false">
      <c r="A36" s="99" t="n">
        <v>31</v>
      </c>
      <c r="B36" s="99" t="s">
        <v>654</v>
      </c>
      <c r="C36" s="100"/>
      <c r="D36" s="100"/>
      <c r="E36" s="107" t="s">
        <v>361</v>
      </c>
      <c r="F36" s="108" t="s">
        <v>361</v>
      </c>
      <c r="G36" s="108" t="s">
        <v>361</v>
      </c>
      <c r="H36" s="108" t="s">
        <v>361</v>
      </c>
      <c r="I36" s="109" t="s">
        <v>361</v>
      </c>
      <c r="J36" s="104" t="str">
        <f aca="false">'Trade Tracker'!M144</f>
        <v>–</v>
      </c>
    </row>
    <row r="37" customFormat="false" ht="18.75" hidden="false" customHeight="true" outlineLevel="0" collapsed="false">
      <c r="A37" s="16" t="n">
        <v>32</v>
      </c>
      <c r="B37" s="16" t="s">
        <v>654</v>
      </c>
      <c r="C37" s="105"/>
      <c r="D37" s="105"/>
      <c r="E37" s="18" t="s">
        <v>361</v>
      </c>
      <c r="F37" s="92" t="s">
        <v>361</v>
      </c>
      <c r="G37" s="92" t="s">
        <v>361</v>
      </c>
      <c r="H37" s="92" t="s">
        <v>361</v>
      </c>
      <c r="I37" s="110" t="s">
        <v>361</v>
      </c>
      <c r="J37" s="106" t="str">
        <f aca="false">'Trade Tracker'!M145</f>
        <v>–</v>
      </c>
    </row>
    <row r="38" customFormat="false" ht="18.75" hidden="false" customHeight="true" outlineLevel="0" collapsed="false">
      <c r="A38" s="99" t="n">
        <v>33</v>
      </c>
      <c r="B38" s="99" t="s">
        <v>654</v>
      </c>
      <c r="C38" s="100"/>
      <c r="D38" s="100"/>
      <c r="E38" s="107" t="s">
        <v>361</v>
      </c>
      <c r="F38" s="108" t="s">
        <v>361</v>
      </c>
      <c r="G38" s="108" t="s">
        <v>361</v>
      </c>
      <c r="H38" s="108" t="s">
        <v>361</v>
      </c>
      <c r="I38" s="109" t="s">
        <v>361</v>
      </c>
      <c r="J38" s="104" t="str">
        <f aca="false">'Trade Tracker'!M146</f>
        <v>–</v>
      </c>
    </row>
    <row r="39" customFormat="false" ht="18.75" hidden="false" customHeight="true" outlineLevel="0" collapsed="false">
      <c r="A39" s="16" t="n">
        <v>34</v>
      </c>
      <c r="B39" s="16" t="s">
        <v>654</v>
      </c>
      <c r="C39" s="105"/>
      <c r="D39" s="105"/>
      <c r="E39" s="18" t="s">
        <v>361</v>
      </c>
      <c r="F39" s="92" t="s">
        <v>361</v>
      </c>
      <c r="G39" s="92" t="s">
        <v>361</v>
      </c>
      <c r="H39" s="92" t="s">
        <v>361</v>
      </c>
      <c r="I39" s="110" t="s">
        <v>361</v>
      </c>
      <c r="J39" s="106" t="str">
        <f aca="false">'Trade Tracker'!M147</f>
        <v>–</v>
      </c>
    </row>
    <row r="40" customFormat="false" ht="18.75" hidden="false" customHeight="true" outlineLevel="0" collapsed="false">
      <c r="A40" s="99" t="n">
        <v>35</v>
      </c>
      <c r="B40" s="99" t="s">
        <v>654</v>
      </c>
      <c r="C40" s="100"/>
      <c r="D40" s="100"/>
      <c r="E40" s="107" t="s">
        <v>361</v>
      </c>
      <c r="F40" s="108" t="s">
        <v>361</v>
      </c>
      <c r="G40" s="108" t="s">
        <v>361</v>
      </c>
      <c r="H40" s="108" t="s">
        <v>361</v>
      </c>
      <c r="I40" s="109" t="s">
        <v>361</v>
      </c>
      <c r="J40" s="104" t="str">
        <f aca="false">'Trade Tracker'!M148</f>
        <v>–</v>
      </c>
    </row>
    <row r="41" customFormat="false" ht="18.75" hidden="false" customHeight="true" outlineLevel="0" collapsed="false">
      <c r="A41" s="16" t="n">
        <v>36</v>
      </c>
      <c r="B41" s="16" t="s">
        <v>654</v>
      </c>
      <c r="C41" s="105"/>
      <c r="D41" s="105"/>
      <c r="E41" s="18" t="s">
        <v>361</v>
      </c>
      <c r="F41" s="92" t="s">
        <v>361</v>
      </c>
      <c r="G41" s="92" t="s">
        <v>361</v>
      </c>
      <c r="H41" s="92" t="s">
        <v>361</v>
      </c>
      <c r="I41" s="110" t="s">
        <v>361</v>
      </c>
      <c r="J41" s="106" t="str">
        <f aca="false">'Trade Tracker'!M149</f>
        <v>–</v>
      </c>
    </row>
    <row r="42" customFormat="false" ht="18.75" hidden="false" customHeight="true" outlineLevel="0" collapsed="false">
      <c r="A42" s="99" t="n">
        <v>37</v>
      </c>
      <c r="B42" s="99" t="s">
        <v>654</v>
      </c>
      <c r="C42" s="100"/>
      <c r="D42" s="100"/>
      <c r="E42" s="107" t="s">
        <v>361</v>
      </c>
      <c r="F42" s="108" t="s">
        <v>361</v>
      </c>
      <c r="G42" s="108" t="s">
        <v>361</v>
      </c>
      <c r="H42" s="108" t="s">
        <v>361</v>
      </c>
      <c r="I42" s="109" t="s">
        <v>361</v>
      </c>
      <c r="J42" s="104" t="str">
        <f aca="false">'Trade Tracker'!M150</f>
        <v>–</v>
      </c>
    </row>
    <row r="43" customFormat="false" ht="18.75" hidden="false" customHeight="true" outlineLevel="0" collapsed="false">
      <c r="A43" s="16" t="n">
        <v>38</v>
      </c>
      <c r="B43" s="16" t="s">
        <v>654</v>
      </c>
      <c r="C43" s="105"/>
      <c r="D43" s="105"/>
      <c r="E43" s="18" t="s">
        <v>361</v>
      </c>
      <c r="F43" s="92" t="s">
        <v>361</v>
      </c>
      <c r="G43" s="92" t="s">
        <v>361</v>
      </c>
      <c r="H43" s="92" t="s">
        <v>361</v>
      </c>
      <c r="I43" s="110" t="s">
        <v>361</v>
      </c>
      <c r="J43" s="106" t="str">
        <f aca="false">'Trade Tracker'!M151</f>
        <v>–</v>
      </c>
    </row>
    <row r="44" customFormat="false" ht="18.75" hidden="false" customHeight="true" outlineLevel="0" collapsed="false">
      <c r="A44" s="99" t="n">
        <v>39</v>
      </c>
      <c r="B44" s="99" t="s">
        <v>654</v>
      </c>
      <c r="C44" s="100"/>
      <c r="D44" s="100"/>
      <c r="E44" s="107" t="s">
        <v>361</v>
      </c>
      <c r="F44" s="108" t="s">
        <v>361</v>
      </c>
      <c r="G44" s="108" t="s">
        <v>361</v>
      </c>
      <c r="H44" s="108" t="s">
        <v>361</v>
      </c>
      <c r="I44" s="109" t="s">
        <v>361</v>
      </c>
      <c r="J44" s="104" t="str">
        <f aca="false">'Trade Tracker'!M152</f>
        <v>–</v>
      </c>
    </row>
    <row r="45" customFormat="false" ht="18.75" hidden="false" customHeight="true" outlineLevel="0" collapsed="false">
      <c r="A45" s="16" t="n">
        <v>40</v>
      </c>
      <c r="B45" s="16" t="s">
        <v>654</v>
      </c>
      <c r="C45" s="105"/>
      <c r="D45" s="105"/>
      <c r="E45" s="18" t="s">
        <v>361</v>
      </c>
      <c r="F45" s="92" t="s">
        <v>361</v>
      </c>
      <c r="G45" s="92" t="s">
        <v>361</v>
      </c>
      <c r="H45" s="92" t="s">
        <v>361</v>
      </c>
      <c r="I45" s="110" t="s">
        <v>361</v>
      </c>
      <c r="J45" s="106" t="str">
        <f aca="false">'Trade Tracker'!M153</f>
        <v>–</v>
      </c>
    </row>
    <row r="46" customFormat="false" ht="18.75" hidden="false" customHeight="true" outlineLevel="0" collapsed="false">
      <c r="A46" s="99" t="n">
        <v>41</v>
      </c>
      <c r="B46" s="99" t="s">
        <v>654</v>
      </c>
      <c r="C46" s="100"/>
      <c r="D46" s="100"/>
      <c r="E46" s="107" t="s">
        <v>361</v>
      </c>
      <c r="F46" s="108" t="s">
        <v>361</v>
      </c>
      <c r="G46" s="108" t="s">
        <v>361</v>
      </c>
      <c r="H46" s="108" t="s">
        <v>361</v>
      </c>
      <c r="I46" s="109" t="s">
        <v>361</v>
      </c>
      <c r="J46" s="104" t="str">
        <f aca="false">'Trade Tracker'!M154</f>
        <v>–</v>
      </c>
    </row>
    <row r="47" customFormat="false" ht="18.75" hidden="false" customHeight="true" outlineLevel="0" collapsed="false">
      <c r="A47" s="16" t="n">
        <v>42</v>
      </c>
      <c r="B47" s="16" t="s">
        <v>654</v>
      </c>
      <c r="C47" s="105"/>
      <c r="D47" s="105"/>
      <c r="E47" s="18" t="s">
        <v>361</v>
      </c>
      <c r="F47" s="92" t="s">
        <v>361</v>
      </c>
      <c r="G47" s="92" t="s">
        <v>361</v>
      </c>
      <c r="H47" s="92" t="s">
        <v>361</v>
      </c>
      <c r="I47" s="110" t="s">
        <v>361</v>
      </c>
      <c r="J47" s="106" t="str">
        <f aca="false">'Trade Tracker'!M155</f>
        <v>–</v>
      </c>
    </row>
    <row r="48" customFormat="false" ht="18.75" hidden="false" customHeight="true" outlineLevel="0" collapsed="false">
      <c r="A48" s="99" t="n">
        <v>43</v>
      </c>
      <c r="B48" s="99" t="s">
        <v>654</v>
      </c>
      <c r="C48" s="100"/>
      <c r="D48" s="100"/>
      <c r="E48" s="107" t="s">
        <v>361</v>
      </c>
      <c r="F48" s="108" t="s">
        <v>361</v>
      </c>
      <c r="G48" s="108" t="s">
        <v>361</v>
      </c>
      <c r="H48" s="108" t="s">
        <v>361</v>
      </c>
      <c r="I48" s="109" t="s">
        <v>361</v>
      </c>
      <c r="J48" s="104" t="str">
        <f aca="false">'Trade Tracker'!M156</f>
        <v>–</v>
      </c>
    </row>
    <row r="49" customFormat="false" ht="18.75" hidden="false" customHeight="true" outlineLevel="0" collapsed="false">
      <c r="A49" s="16" t="n">
        <v>44</v>
      </c>
      <c r="B49" s="16" t="s">
        <v>654</v>
      </c>
      <c r="C49" s="105"/>
      <c r="D49" s="105"/>
      <c r="E49" s="18" t="s">
        <v>361</v>
      </c>
      <c r="F49" s="92" t="s">
        <v>361</v>
      </c>
      <c r="G49" s="92" t="s">
        <v>361</v>
      </c>
      <c r="H49" s="92" t="s">
        <v>361</v>
      </c>
      <c r="I49" s="110" t="s">
        <v>361</v>
      </c>
      <c r="J49" s="106" t="str">
        <f aca="false">'Trade Tracker'!M157</f>
        <v>–</v>
      </c>
    </row>
    <row r="50" customFormat="false" ht="18.75" hidden="false" customHeight="true" outlineLevel="0" collapsed="false">
      <c r="A50" s="99" t="n">
        <v>45</v>
      </c>
      <c r="B50" s="99" t="s">
        <v>654</v>
      </c>
      <c r="C50" s="100"/>
      <c r="D50" s="100"/>
      <c r="E50" s="107" t="s">
        <v>361</v>
      </c>
      <c r="F50" s="108" t="s">
        <v>361</v>
      </c>
      <c r="G50" s="108" t="s">
        <v>361</v>
      </c>
      <c r="H50" s="108" t="s">
        <v>361</v>
      </c>
      <c r="I50" s="109" t="s">
        <v>361</v>
      </c>
      <c r="J50" s="104" t="str">
        <f aca="false">'Trade Tracker'!M158</f>
        <v>–</v>
      </c>
    </row>
    <row r="51" customFormat="false" ht="18.75" hidden="false" customHeight="true" outlineLevel="0" collapsed="false">
      <c r="A51" s="16" t="n">
        <v>46</v>
      </c>
      <c r="B51" s="16" t="s">
        <v>654</v>
      </c>
      <c r="C51" s="105"/>
      <c r="D51" s="105"/>
      <c r="E51" s="18" t="s">
        <v>361</v>
      </c>
      <c r="F51" s="92" t="s">
        <v>361</v>
      </c>
      <c r="G51" s="92" t="s">
        <v>361</v>
      </c>
      <c r="H51" s="92" t="s">
        <v>361</v>
      </c>
      <c r="I51" s="110" t="s">
        <v>361</v>
      </c>
      <c r="J51" s="106" t="str">
        <f aca="false">'Trade Tracker'!M159</f>
        <v>–</v>
      </c>
    </row>
    <row r="52" customFormat="false" ht="18.75" hidden="false" customHeight="true" outlineLevel="0" collapsed="false">
      <c r="A52" s="99" t="n">
        <v>47</v>
      </c>
      <c r="B52" s="99" t="s">
        <v>654</v>
      </c>
      <c r="C52" s="100"/>
      <c r="D52" s="100"/>
      <c r="E52" s="107" t="s">
        <v>361</v>
      </c>
      <c r="F52" s="108" t="s">
        <v>361</v>
      </c>
      <c r="G52" s="108" t="s">
        <v>361</v>
      </c>
      <c r="H52" s="108" t="s">
        <v>361</v>
      </c>
      <c r="I52" s="109" t="s">
        <v>361</v>
      </c>
      <c r="J52" s="104" t="str">
        <f aca="false">'Trade Tracker'!M160</f>
        <v>–</v>
      </c>
    </row>
    <row r="53" customFormat="false" ht="18.75" hidden="false" customHeight="true" outlineLevel="0" collapsed="false">
      <c r="A53" s="16" t="n">
        <v>48</v>
      </c>
      <c r="B53" s="16" t="s">
        <v>654</v>
      </c>
      <c r="C53" s="105"/>
      <c r="D53" s="105"/>
      <c r="E53" s="18" t="s">
        <v>361</v>
      </c>
      <c r="F53" s="92" t="s">
        <v>361</v>
      </c>
      <c r="G53" s="92" t="s">
        <v>361</v>
      </c>
      <c r="H53" s="92" t="s">
        <v>361</v>
      </c>
      <c r="I53" s="110" t="s">
        <v>361</v>
      </c>
      <c r="J53" s="106" t="str">
        <f aca="false">'Trade Tracker'!M161</f>
        <v>–</v>
      </c>
    </row>
    <row r="54" customFormat="false" ht="18.75" hidden="false" customHeight="true" outlineLevel="0" collapsed="false">
      <c r="A54" s="99" t="n">
        <v>49</v>
      </c>
      <c r="B54" s="99" t="s">
        <v>654</v>
      </c>
      <c r="C54" s="100"/>
      <c r="D54" s="100"/>
      <c r="E54" s="107" t="s">
        <v>361</v>
      </c>
      <c r="F54" s="108" t="s">
        <v>361</v>
      </c>
      <c r="G54" s="108" t="s">
        <v>361</v>
      </c>
      <c r="H54" s="108" t="s">
        <v>361</v>
      </c>
      <c r="I54" s="109" t="s">
        <v>361</v>
      </c>
      <c r="J54" s="104" t="str">
        <f aca="false">'Trade Tracker'!M162</f>
        <v>–</v>
      </c>
    </row>
    <row r="55" customFormat="false" ht="18.75" hidden="false" customHeight="true" outlineLevel="0" collapsed="false">
      <c r="A55" s="16" t="n">
        <v>50</v>
      </c>
      <c r="B55" s="16" t="s">
        <v>654</v>
      </c>
      <c r="C55" s="105"/>
      <c r="D55" s="105"/>
      <c r="E55" s="18" t="s">
        <v>361</v>
      </c>
      <c r="F55" s="92" t="s">
        <v>361</v>
      </c>
      <c r="G55" s="92" t="s">
        <v>361</v>
      </c>
      <c r="H55" s="92" t="s">
        <v>361</v>
      </c>
      <c r="I55" s="110" t="s">
        <v>361</v>
      </c>
      <c r="J55" s="106" t="str">
        <f aca="false">'Trade Tracker'!M163</f>
        <v>–</v>
      </c>
    </row>
    <row r="56" customFormat="false" ht="18.75" hidden="false" customHeight="true" outlineLevel="0" collapsed="false">
      <c r="A56" s="99" t="n">
        <v>51</v>
      </c>
      <c r="B56" s="99" t="s">
        <v>654</v>
      </c>
      <c r="C56" s="100"/>
      <c r="D56" s="100"/>
      <c r="E56" s="107" t="s">
        <v>361</v>
      </c>
      <c r="F56" s="108" t="s">
        <v>361</v>
      </c>
      <c r="G56" s="108" t="s">
        <v>361</v>
      </c>
      <c r="H56" s="108" t="s">
        <v>361</v>
      </c>
      <c r="I56" s="109" t="s">
        <v>361</v>
      </c>
      <c r="J56" s="104" t="str">
        <f aca="false">'Trade Tracker'!M164</f>
        <v>–</v>
      </c>
    </row>
    <row r="57" customFormat="false" ht="18.75" hidden="false" customHeight="true" outlineLevel="0" collapsed="false">
      <c r="A57" s="16" t="n">
        <v>52</v>
      </c>
      <c r="B57" s="16" t="s">
        <v>654</v>
      </c>
      <c r="C57" s="105"/>
      <c r="D57" s="105"/>
      <c r="E57" s="18" t="s">
        <v>361</v>
      </c>
      <c r="F57" s="92" t="s">
        <v>361</v>
      </c>
      <c r="G57" s="92" t="s">
        <v>361</v>
      </c>
      <c r="H57" s="92" t="s">
        <v>361</v>
      </c>
      <c r="I57" s="110" t="s">
        <v>361</v>
      </c>
      <c r="J57" s="106" t="str">
        <f aca="false">'Trade Tracker'!M165</f>
        <v>–</v>
      </c>
    </row>
    <row r="58" customFormat="false" ht="18.75" hidden="false" customHeight="true" outlineLevel="0" collapsed="false">
      <c r="A58" s="99" t="n">
        <v>53</v>
      </c>
      <c r="B58" s="99" t="s">
        <v>654</v>
      </c>
      <c r="C58" s="100"/>
      <c r="D58" s="100"/>
      <c r="E58" s="107" t="s">
        <v>361</v>
      </c>
      <c r="F58" s="108" t="s">
        <v>361</v>
      </c>
      <c r="G58" s="108" t="s">
        <v>361</v>
      </c>
      <c r="H58" s="108" t="s">
        <v>361</v>
      </c>
      <c r="I58" s="109" t="s">
        <v>361</v>
      </c>
      <c r="J58" s="104" t="str">
        <f aca="false">'Trade Tracker'!M166</f>
        <v>–</v>
      </c>
    </row>
    <row r="59" customFormat="false" ht="18.75" hidden="false" customHeight="true" outlineLevel="0" collapsed="false">
      <c r="A59" s="16" t="n">
        <v>54</v>
      </c>
      <c r="B59" s="16" t="s">
        <v>654</v>
      </c>
      <c r="C59" s="105"/>
      <c r="D59" s="105"/>
      <c r="E59" s="18" t="s">
        <v>361</v>
      </c>
      <c r="F59" s="92" t="s">
        <v>361</v>
      </c>
      <c r="G59" s="92" t="s">
        <v>361</v>
      </c>
      <c r="H59" s="92" t="s">
        <v>361</v>
      </c>
      <c r="I59" s="110" t="s">
        <v>361</v>
      </c>
      <c r="J59" s="106" t="str">
        <f aca="false">'Trade Tracker'!M167</f>
        <v>–</v>
      </c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7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98" t="s">
        <v>660</v>
      </c>
      <c r="B1" s="98"/>
      <c r="C1" s="98"/>
      <c r="D1" s="98"/>
      <c r="E1" s="98"/>
      <c r="F1" s="98"/>
      <c r="G1" s="98"/>
      <c r="H1" s="98"/>
      <c r="I1" s="98"/>
    </row>
    <row r="3" customFormat="false" ht="24" hidden="false" customHeight="true" outlineLevel="0" collapsed="false">
      <c r="A3" s="111" t="s">
        <v>1</v>
      </c>
      <c r="B3" s="111" t="s">
        <v>661</v>
      </c>
      <c r="C3" s="111" t="s">
        <v>662</v>
      </c>
      <c r="D3" s="111" t="s">
        <v>663</v>
      </c>
      <c r="E3" s="111" t="s">
        <v>363</v>
      </c>
      <c r="F3" s="111" t="s">
        <v>286</v>
      </c>
      <c r="G3" s="111" t="s">
        <v>287</v>
      </c>
      <c r="H3" s="111" t="s">
        <v>288</v>
      </c>
      <c r="I3" s="111" t="s">
        <v>664</v>
      </c>
    </row>
    <row r="4" customFormat="false" ht="19.5" hidden="false" customHeight="true" outlineLevel="0" collapsed="false">
      <c r="A4" s="112" t="s">
        <v>52</v>
      </c>
      <c r="B4" s="113" t="n">
        <v>3</v>
      </c>
      <c r="C4" s="114" t="n">
        <v>2</v>
      </c>
      <c r="D4" s="115" t="n">
        <v>0</v>
      </c>
      <c r="E4" s="116" t="n">
        <v>1</v>
      </c>
      <c r="F4" s="117" t="n">
        <v>1</v>
      </c>
      <c r="G4" s="118" t="n">
        <v>0.244701</v>
      </c>
      <c r="H4" s="119" t="n">
        <v>0</v>
      </c>
      <c r="I4" s="118" t="n">
        <v>0.333333</v>
      </c>
    </row>
    <row r="5" customFormat="false" ht="19.5" hidden="false" customHeight="true" outlineLevel="0" collapsed="false">
      <c r="A5" s="120" t="s">
        <v>209</v>
      </c>
      <c r="B5" s="121" t="n">
        <v>2</v>
      </c>
      <c r="C5" s="122" t="n">
        <v>0</v>
      </c>
      <c r="D5" s="123" t="n">
        <v>2</v>
      </c>
      <c r="E5" s="124" t="n">
        <v>0</v>
      </c>
      <c r="F5" s="125" t="n">
        <v>0</v>
      </c>
      <c r="G5" s="126" t="n">
        <v>0</v>
      </c>
      <c r="H5" s="127" t="n">
        <v>-0.0805555</v>
      </c>
      <c r="I5" s="126" t="n">
        <v>0</v>
      </c>
    </row>
    <row r="6" customFormat="false" ht="19.5" hidden="false" customHeight="true" outlineLevel="0" collapsed="false">
      <c r="A6" s="112" t="s">
        <v>13</v>
      </c>
      <c r="B6" s="113" t="n">
        <v>8</v>
      </c>
      <c r="C6" s="114" t="n">
        <v>6</v>
      </c>
      <c r="D6" s="115" t="n">
        <v>2</v>
      </c>
      <c r="E6" s="116" t="n">
        <v>0</v>
      </c>
      <c r="F6" s="117" t="n">
        <v>0.75</v>
      </c>
      <c r="G6" s="118" t="n">
        <v>0.1652725</v>
      </c>
      <c r="H6" s="119" t="n">
        <v>-0.045547</v>
      </c>
      <c r="I6" s="118" t="n">
        <v>0.217143</v>
      </c>
    </row>
    <row r="7" customFormat="false" ht="19.5" hidden="false" customHeight="true" outlineLevel="0" collapsed="false">
      <c r="A7" s="120" t="s">
        <v>237</v>
      </c>
      <c r="B7" s="121" t="n">
        <v>2</v>
      </c>
      <c r="C7" s="122" t="n">
        <v>2</v>
      </c>
      <c r="D7" s="123" t="n">
        <v>0</v>
      </c>
      <c r="E7" s="124" t="n">
        <v>0</v>
      </c>
      <c r="F7" s="125" t="n">
        <v>1</v>
      </c>
      <c r="G7" s="126" t="n">
        <v>0.2732325</v>
      </c>
      <c r="H7" s="127" t="n">
        <v>0</v>
      </c>
      <c r="I7" s="126" t="n">
        <v>0.455556</v>
      </c>
    </row>
    <row r="8" customFormat="false" ht="19.5" hidden="false" customHeight="true" outlineLevel="0" collapsed="false">
      <c r="A8" s="112" t="s">
        <v>10</v>
      </c>
      <c r="B8" s="113" t="n">
        <v>8</v>
      </c>
      <c r="C8" s="114" t="n">
        <v>4</v>
      </c>
      <c r="D8" s="115" t="n">
        <v>3</v>
      </c>
      <c r="E8" s="116" t="n">
        <v>1</v>
      </c>
      <c r="F8" s="117" t="n">
        <v>0.571428571428571</v>
      </c>
      <c r="G8" s="118" t="n">
        <v>0.22294275</v>
      </c>
      <c r="H8" s="119" t="n">
        <v>-0.0557436666666667</v>
      </c>
      <c r="I8" s="118" t="n">
        <v>0.290323</v>
      </c>
    </row>
    <row r="9" customFormat="false" ht="19.5" hidden="false" customHeight="true" outlineLevel="0" collapsed="false">
      <c r="A9" s="120" t="s">
        <v>19</v>
      </c>
      <c r="B9" s="121" t="n">
        <v>1</v>
      </c>
      <c r="C9" s="122" t="n">
        <v>1</v>
      </c>
      <c r="D9" s="123" t="n">
        <v>0</v>
      </c>
      <c r="E9" s="124" t="n">
        <v>0</v>
      </c>
      <c r="F9" s="125" t="n">
        <v>1</v>
      </c>
      <c r="G9" s="126" t="n">
        <v>0.3</v>
      </c>
      <c r="H9" s="127" t="n">
        <v>0</v>
      </c>
      <c r="I9" s="126" t="n">
        <v>0.3</v>
      </c>
    </row>
    <row r="10" customFormat="false" ht="19.5" hidden="false" customHeight="true" outlineLevel="0" collapsed="false">
      <c r="A10" s="112" t="s">
        <v>159</v>
      </c>
      <c r="B10" s="113" t="n">
        <v>1</v>
      </c>
      <c r="C10" s="114" t="n">
        <v>0</v>
      </c>
      <c r="D10" s="115" t="n">
        <v>1</v>
      </c>
      <c r="E10" s="116" t="n">
        <v>0</v>
      </c>
      <c r="F10" s="117" t="n">
        <v>0</v>
      </c>
      <c r="G10" s="118" t="n">
        <v>0</v>
      </c>
      <c r="H10" s="119" t="n">
        <v>-0.063291</v>
      </c>
      <c r="I10" s="118" t="n">
        <v>0</v>
      </c>
    </row>
    <row r="11" customFormat="false" ht="19.5" hidden="false" customHeight="true" outlineLevel="0" collapsed="false">
      <c r="A11" s="120" t="s">
        <v>32</v>
      </c>
      <c r="B11" s="121" t="n">
        <v>4</v>
      </c>
      <c r="C11" s="122" t="n">
        <v>1</v>
      </c>
      <c r="D11" s="123" t="n">
        <v>2</v>
      </c>
      <c r="E11" s="124" t="n">
        <v>1</v>
      </c>
      <c r="F11" s="125" t="n">
        <v>0.333333333333333</v>
      </c>
      <c r="G11" s="126" t="n">
        <v>0.058824</v>
      </c>
      <c r="H11" s="127" t="n">
        <v>-0.0460785</v>
      </c>
      <c r="I11" s="126" t="n">
        <v>0.058824</v>
      </c>
    </row>
    <row r="12" customFormat="false" ht="19.5" hidden="false" customHeight="true" outlineLevel="0" collapsed="false">
      <c r="A12" s="112" t="s">
        <v>47</v>
      </c>
      <c r="B12" s="113" t="n">
        <v>7</v>
      </c>
      <c r="C12" s="114" t="n">
        <v>6</v>
      </c>
      <c r="D12" s="115" t="n">
        <v>0</v>
      </c>
      <c r="E12" s="116" t="n">
        <v>1</v>
      </c>
      <c r="F12" s="117" t="n">
        <v>1</v>
      </c>
      <c r="G12" s="118" t="n">
        <v>0.141299333333333</v>
      </c>
      <c r="H12" s="119" t="n">
        <v>0</v>
      </c>
      <c r="I12" s="118" t="n">
        <v>0.226027</v>
      </c>
    </row>
    <row r="13" customFormat="false" ht="19.5" hidden="false" customHeight="true" outlineLevel="0" collapsed="false">
      <c r="A13" s="120" t="s">
        <v>29</v>
      </c>
      <c r="B13" s="121" t="n">
        <v>6</v>
      </c>
      <c r="C13" s="122" t="n">
        <v>5</v>
      </c>
      <c r="D13" s="123" t="n">
        <v>0</v>
      </c>
      <c r="E13" s="124" t="n">
        <v>1</v>
      </c>
      <c r="F13" s="125" t="n">
        <v>1</v>
      </c>
      <c r="G13" s="126" t="n">
        <v>0.4867712</v>
      </c>
      <c r="H13" s="127" t="n">
        <v>0</v>
      </c>
      <c r="I13" s="126" t="n">
        <v>1.653061</v>
      </c>
    </row>
    <row r="14" customFormat="false" ht="19.5" hidden="false" customHeight="true" outlineLevel="0" collapsed="false">
      <c r="A14" s="112" t="s">
        <v>147</v>
      </c>
      <c r="B14" s="113" t="n">
        <v>1</v>
      </c>
      <c r="C14" s="114" t="n">
        <v>1</v>
      </c>
      <c r="D14" s="115" t="n">
        <v>0</v>
      </c>
      <c r="E14" s="116" t="n">
        <v>0</v>
      </c>
      <c r="F14" s="117" t="n">
        <v>1</v>
      </c>
      <c r="G14" s="118" t="n">
        <v>0.333333</v>
      </c>
      <c r="H14" s="119" t="n">
        <v>0</v>
      </c>
      <c r="I14" s="118" t="n">
        <v>0.333333</v>
      </c>
    </row>
    <row r="15" customFormat="false" ht="19.5" hidden="false" customHeight="true" outlineLevel="0" collapsed="false">
      <c r="A15" s="120" t="s">
        <v>4</v>
      </c>
      <c r="B15" s="121" t="n">
        <v>7</v>
      </c>
      <c r="C15" s="122" t="n">
        <v>3</v>
      </c>
      <c r="D15" s="123" t="n">
        <v>3</v>
      </c>
      <c r="E15" s="124" t="n">
        <v>1</v>
      </c>
      <c r="F15" s="125" t="n">
        <v>0.5</v>
      </c>
      <c r="G15" s="126" t="n">
        <v>0.186508</v>
      </c>
      <c r="H15" s="127" t="n">
        <v>-0.0398253333333333</v>
      </c>
      <c r="I15" s="126" t="n">
        <v>0.2</v>
      </c>
    </row>
    <row r="16" customFormat="false" ht="19.5" hidden="false" customHeight="true" outlineLevel="0" collapsed="false">
      <c r="A16" s="112" t="s">
        <v>111</v>
      </c>
      <c r="B16" s="113" t="n">
        <v>3</v>
      </c>
      <c r="C16" s="114" t="n">
        <v>1</v>
      </c>
      <c r="D16" s="115" t="n">
        <v>1</v>
      </c>
      <c r="E16" s="116" t="n">
        <v>1</v>
      </c>
      <c r="F16" s="117" t="n">
        <v>0.5</v>
      </c>
      <c r="G16" s="118" t="n">
        <v>0.73913</v>
      </c>
      <c r="H16" s="119" t="n">
        <v>-0.037037</v>
      </c>
      <c r="I16" s="118" t="n">
        <v>0.73913</v>
      </c>
    </row>
    <row r="17" customFormat="false" ht="19.5" hidden="false" customHeight="true" outlineLevel="0" collapsed="false">
      <c r="A17" s="120" t="s">
        <v>126</v>
      </c>
      <c r="B17" s="121" t="n">
        <v>9</v>
      </c>
      <c r="C17" s="122" t="n">
        <v>5</v>
      </c>
      <c r="D17" s="123" t="n">
        <v>4</v>
      </c>
      <c r="E17" s="124" t="n">
        <v>0</v>
      </c>
      <c r="F17" s="125" t="n">
        <v>0.555555555555556</v>
      </c>
      <c r="G17" s="126" t="n">
        <v>0.2445932</v>
      </c>
      <c r="H17" s="127" t="n">
        <v>-0.03238775</v>
      </c>
      <c r="I17" s="126" t="n">
        <v>0.562</v>
      </c>
    </row>
    <row r="18" customFormat="false" ht="19.5" hidden="false" customHeight="true" outlineLevel="0" collapsed="false">
      <c r="A18" s="112" t="s">
        <v>102</v>
      </c>
      <c r="B18" s="113" t="n">
        <v>4</v>
      </c>
      <c r="C18" s="114" t="n">
        <v>2</v>
      </c>
      <c r="D18" s="115" t="n">
        <v>1</v>
      </c>
      <c r="E18" s="116" t="n">
        <v>1</v>
      </c>
      <c r="F18" s="117" t="n">
        <v>0.666666666666667</v>
      </c>
      <c r="G18" s="118" t="n">
        <v>0.153846</v>
      </c>
      <c r="H18" s="119" t="n">
        <v>-0.041096</v>
      </c>
      <c r="I18" s="118" t="n">
        <v>0.307692</v>
      </c>
    </row>
    <row r="19" customFormat="false" ht="19.5" hidden="false" customHeight="true" outlineLevel="0" collapsed="false">
      <c r="A19" s="120" t="s">
        <v>166</v>
      </c>
      <c r="B19" s="121" t="n">
        <v>2</v>
      </c>
      <c r="C19" s="122" t="n">
        <v>0</v>
      </c>
      <c r="D19" s="123" t="n">
        <v>1</v>
      </c>
      <c r="E19" s="124" t="n">
        <v>1</v>
      </c>
      <c r="F19" s="125" t="n">
        <v>0</v>
      </c>
      <c r="G19" s="126" t="n">
        <v>0</v>
      </c>
      <c r="H19" s="127" t="n">
        <v>-0.038462</v>
      </c>
      <c r="I19" s="126" t="n">
        <v>0</v>
      </c>
    </row>
    <row r="20" customFormat="false" ht="19.5" hidden="false" customHeight="true" outlineLevel="0" collapsed="false">
      <c r="A20" s="112" t="s">
        <v>7</v>
      </c>
      <c r="B20" s="113" t="n">
        <v>9</v>
      </c>
      <c r="C20" s="114" t="n">
        <v>5</v>
      </c>
      <c r="D20" s="115" t="n">
        <v>2</v>
      </c>
      <c r="E20" s="116" t="n">
        <v>2</v>
      </c>
      <c r="F20" s="117" t="n">
        <v>0.714285714285714</v>
      </c>
      <c r="G20" s="118" t="n">
        <v>0.119768</v>
      </c>
      <c r="H20" s="119" t="n">
        <v>0.008442</v>
      </c>
      <c r="I20" s="118" t="n">
        <v>0.206897</v>
      </c>
    </row>
    <row r="21" customFormat="false" ht="19.5" hidden="false" customHeight="true" outlineLevel="0" collapsed="false">
      <c r="A21" s="120" t="s">
        <v>65</v>
      </c>
      <c r="B21" s="121" t="n">
        <v>8</v>
      </c>
      <c r="C21" s="122" t="n">
        <v>8</v>
      </c>
      <c r="D21" s="123" t="n">
        <v>0</v>
      </c>
      <c r="E21" s="124" t="n">
        <v>0</v>
      </c>
      <c r="F21" s="125" t="n">
        <v>1</v>
      </c>
      <c r="G21" s="126" t="n">
        <v>0.37336075</v>
      </c>
      <c r="H21" s="127" t="n">
        <v>0</v>
      </c>
      <c r="I21" s="126" t="n">
        <v>1.365169</v>
      </c>
    </row>
    <row r="22" customFormat="false" ht="19.5" hidden="false" customHeight="true" outlineLevel="0" collapsed="false">
      <c r="A22" s="112" t="s">
        <v>224</v>
      </c>
      <c r="B22" s="113" t="n">
        <v>1</v>
      </c>
      <c r="C22" s="114" t="n">
        <v>1</v>
      </c>
      <c r="D22" s="115" t="n">
        <v>0</v>
      </c>
      <c r="E22" s="116" t="n">
        <v>0</v>
      </c>
      <c r="F22" s="117" t="n">
        <v>1</v>
      </c>
      <c r="G22" s="118" t="n">
        <v>0.117021</v>
      </c>
      <c r="H22" s="119" t="n">
        <v>0</v>
      </c>
      <c r="I22" s="118" t="n">
        <v>0.117021</v>
      </c>
    </row>
    <row r="23" customFormat="false" ht="19.5" hidden="false" customHeight="true" outlineLevel="0" collapsed="false">
      <c r="A23" s="120" t="s">
        <v>75</v>
      </c>
      <c r="B23" s="121" t="n">
        <v>2</v>
      </c>
      <c r="C23" s="122" t="n">
        <v>2</v>
      </c>
      <c r="D23" s="123" t="n">
        <v>0</v>
      </c>
      <c r="E23" s="124" t="n">
        <v>0</v>
      </c>
      <c r="F23" s="125" t="n">
        <v>1</v>
      </c>
      <c r="G23" s="126" t="n">
        <v>0.1495405</v>
      </c>
      <c r="H23" s="127" t="n">
        <v>0</v>
      </c>
      <c r="I23" s="126" t="n">
        <v>0.18797</v>
      </c>
    </row>
    <row r="24" customFormat="false" ht="19.5" hidden="false" customHeight="true" outlineLevel="0" collapsed="false">
      <c r="A24" s="112" t="s">
        <v>129</v>
      </c>
      <c r="B24" s="113" t="n">
        <v>2</v>
      </c>
      <c r="C24" s="114" t="n">
        <v>1</v>
      </c>
      <c r="D24" s="115" t="n">
        <v>0</v>
      </c>
      <c r="E24" s="116" t="n">
        <v>1</v>
      </c>
      <c r="F24" s="117" t="n">
        <v>1</v>
      </c>
      <c r="G24" s="118" t="n">
        <v>0.103896</v>
      </c>
      <c r="H24" s="119" t="n">
        <v>0</v>
      </c>
      <c r="I24" s="118" t="n">
        <v>0.103896</v>
      </c>
    </row>
    <row r="25" customFormat="false" ht="19.5" hidden="false" customHeight="true" outlineLevel="0" collapsed="false">
      <c r="A25" s="120" t="s">
        <v>22</v>
      </c>
      <c r="B25" s="121" t="n">
        <v>13</v>
      </c>
      <c r="C25" s="122" t="n">
        <v>12</v>
      </c>
      <c r="D25" s="123" t="n">
        <v>1</v>
      </c>
      <c r="E25" s="124" t="n">
        <v>0</v>
      </c>
      <c r="F25" s="125" t="n">
        <v>0.923076923076923</v>
      </c>
      <c r="G25" s="126" t="n">
        <v>0.163977333333333</v>
      </c>
      <c r="H25" s="127" t="n">
        <v>-0.054878</v>
      </c>
      <c r="I25" s="126" t="n">
        <v>0.305</v>
      </c>
    </row>
    <row r="26" customFormat="false" ht="19.5" hidden="false" customHeight="true" outlineLevel="0" collapsed="false">
      <c r="A26" s="112" t="s">
        <v>38</v>
      </c>
      <c r="B26" s="113" t="n">
        <v>10</v>
      </c>
      <c r="C26" s="114" t="n">
        <v>7</v>
      </c>
      <c r="D26" s="115" t="n">
        <v>1</v>
      </c>
      <c r="E26" s="116" t="n">
        <v>2</v>
      </c>
      <c r="F26" s="117" t="n">
        <v>0.875</v>
      </c>
      <c r="G26" s="118" t="n">
        <v>0.207396142857143</v>
      </c>
      <c r="H26" s="119" t="n">
        <v>-0.0375</v>
      </c>
      <c r="I26" s="118" t="n">
        <v>0.4</v>
      </c>
    </row>
    <row r="27" customFormat="false" ht="19.5" hidden="false" customHeight="true" outlineLevel="0" collapsed="false">
      <c r="A27" s="120" t="s">
        <v>192</v>
      </c>
      <c r="B27" s="121" t="n">
        <v>1</v>
      </c>
      <c r="C27" s="122" t="n">
        <v>0</v>
      </c>
      <c r="D27" s="123" t="n">
        <v>0</v>
      </c>
      <c r="E27" s="124" t="n">
        <v>1</v>
      </c>
      <c r="F27" s="125" t="n">
        <v>0</v>
      </c>
      <c r="G27" s="126" t="n">
        <v>0</v>
      </c>
      <c r="H27" s="127" t="n">
        <v>0</v>
      </c>
      <c r="I27" s="126" t="n">
        <v>0</v>
      </c>
    </row>
    <row r="28" customFormat="false" ht="19.5" hidden="false" customHeight="true" outlineLevel="0" collapsed="false">
      <c r="A28" s="112" t="s">
        <v>16</v>
      </c>
      <c r="B28" s="113" t="n">
        <v>7</v>
      </c>
      <c r="C28" s="114" t="n">
        <v>3</v>
      </c>
      <c r="D28" s="115" t="n">
        <v>0</v>
      </c>
      <c r="E28" s="116" t="n">
        <v>4</v>
      </c>
      <c r="F28" s="117" t="n">
        <v>1</v>
      </c>
      <c r="G28" s="118" t="n">
        <v>0.120201</v>
      </c>
      <c r="H28" s="119" t="n">
        <v>0</v>
      </c>
      <c r="I28" s="118" t="n">
        <v>0.151079</v>
      </c>
    </row>
    <row r="29" customFormat="false" ht="19.5" hidden="false" customHeight="true" outlineLevel="0" collapsed="false">
      <c r="A29" s="120" t="s">
        <v>35</v>
      </c>
      <c r="B29" s="121" t="n">
        <v>3</v>
      </c>
      <c r="C29" s="122" t="n">
        <v>2</v>
      </c>
      <c r="D29" s="123" t="n">
        <v>0</v>
      </c>
      <c r="E29" s="124" t="n">
        <v>1</v>
      </c>
      <c r="F29" s="125" t="n">
        <v>1</v>
      </c>
      <c r="G29" s="126" t="n">
        <v>0.6192365</v>
      </c>
      <c r="H29" s="127" t="n">
        <v>0</v>
      </c>
      <c r="I29" s="126" t="n">
        <v>1.142857</v>
      </c>
    </row>
    <row r="30" customFormat="false" ht="19.5" hidden="false" customHeight="true" outlineLevel="0" collapsed="false">
      <c r="A30" s="112" t="s">
        <v>258</v>
      </c>
      <c r="B30" s="113" t="n">
        <v>2</v>
      </c>
      <c r="C30" s="114" t="n">
        <v>0</v>
      </c>
      <c r="D30" s="115" t="n">
        <v>1</v>
      </c>
      <c r="E30" s="116" t="n">
        <v>1</v>
      </c>
      <c r="F30" s="117" t="n">
        <v>0</v>
      </c>
      <c r="G30" s="118" t="n">
        <v>0</v>
      </c>
      <c r="H30" s="119" t="n">
        <v>-0.058824</v>
      </c>
      <c r="I30" s="118" t="n">
        <v>0</v>
      </c>
    </row>
    <row r="31" customFormat="false" ht="19.5" hidden="false" customHeight="true" outlineLevel="0" collapsed="false">
      <c r="A31" s="120" t="s">
        <v>142</v>
      </c>
      <c r="B31" s="121" t="n">
        <v>1</v>
      </c>
      <c r="C31" s="122" t="n">
        <v>1</v>
      </c>
      <c r="D31" s="123" t="n">
        <v>0</v>
      </c>
      <c r="E31" s="124" t="n">
        <v>0</v>
      </c>
      <c r="F31" s="125" t="n">
        <v>1</v>
      </c>
      <c r="G31" s="126" t="n">
        <v>0.172414</v>
      </c>
      <c r="H31" s="127" t="n">
        <v>0</v>
      </c>
      <c r="I31" s="126" t="n">
        <v>0.172414</v>
      </c>
    </row>
    <row r="32" customFormat="false" ht="19.5" hidden="false" customHeight="true" outlineLevel="0" collapsed="false">
      <c r="A32" s="112" t="s">
        <v>70</v>
      </c>
      <c r="B32" s="113" t="n">
        <v>2</v>
      </c>
      <c r="C32" s="114" t="n">
        <v>2</v>
      </c>
      <c r="D32" s="115" t="n">
        <v>0</v>
      </c>
      <c r="E32" s="116" t="n">
        <v>0</v>
      </c>
      <c r="F32" s="117" t="n">
        <v>1</v>
      </c>
      <c r="G32" s="118" t="n">
        <v>0.1842105</v>
      </c>
      <c r="H32" s="119" t="n">
        <v>0</v>
      </c>
      <c r="I32" s="118" t="n">
        <v>0.25</v>
      </c>
    </row>
    <row r="33" customFormat="false" ht="19.5" hidden="false" customHeight="true" outlineLevel="0" collapsed="false">
      <c r="A33" s="120" t="s">
        <v>49</v>
      </c>
      <c r="B33" s="121" t="n">
        <v>4</v>
      </c>
      <c r="C33" s="122" t="n">
        <v>1</v>
      </c>
      <c r="D33" s="123" t="n">
        <v>0</v>
      </c>
      <c r="E33" s="124" t="n">
        <v>3</v>
      </c>
      <c r="F33" s="125" t="n">
        <v>1</v>
      </c>
      <c r="G33" s="126" t="n">
        <v>0.787879</v>
      </c>
      <c r="H33" s="127" t="n">
        <v>0</v>
      </c>
      <c r="I33" s="126" t="n">
        <v>0.787879</v>
      </c>
    </row>
    <row r="34" customFormat="false" ht="19.5" hidden="false" customHeight="true" outlineLevel="0" collapsed="false">
      <c r="A34" s="128" t="s">
        <v>665</v>
      </c>
      <c r="B34" s="129" t="n">
        <v>133</v>
      </c>
      <c r="C34" s="129" t="n">
        <v>84</v>
      </c>
      <c r="D34" s="129" t="n">
        <v>25</v>
      </c>
      <c r="E34" s="129" t="n">
        <v>24</v>
      </c>
      <c r="F34" s="130" t="n">
        <v>0.770642201834862</v>
      </c>
      <c r="G34" s="130" t="n">
        <v>0.24018344047619</v>
      </c>
      <c r="H34" s="130" t="n">
        <v>-0.04299296</v>
      </c>
      <c r="I34" s="130" t="n">
        <v>1.653061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2" t="s">
        <v>666</v>
      </c>
      <c r="B1" s="2"/>
    </row>
    <row r="3" customFormat="false" ht="18" hidden="false" customHeight="true" outlineLevel="0" collapsed="false">
      <c r="B3" s="131" t="s">
        <v>667</v>
      </c>
    </row>
    <row r="4" customFormat="false" ht="18" hidden="false" customHeight="true" outlineLevel="0" collapsed="false">
      <c r="B4" s="132" t="s">
        <v>668</v>
      </c>
    </row>
    <row r="5" customFormat="false" ht="18" hidden="false" customHeight="true" outlineLevel="0" collapsed="false">
      <c r="B5" s="133" t="s">
        <v>669</v>
      </c>
    </row>
    <row r="6" customFormat="false" ht="18" hidden="false" customHeight="true" outlineLevel="0" collapsed="false">
      <c r="B6" s="132" t="s">
        <v>670</v>
      </c>
    </row>
    <row r="7" customFormat="false" ht="18" hidden="false" customHeight="true" outlineLevel="0" collapsed="false">
      <c r="B7" s="133" t="s">
        <v>671</v>
      </c>
    </row>
    <row r="8" customFormat="false" ht="18" hidden="false" customHeight="true" outlineLevel="0" collapsed="false">
      <c r="B8" s="132" t="s">
        <v>672</v>
      </c>
    </row>
    <row r="9" customFormat="false" ht="18" hidden="false" customHeight="true" outlineLevel="0" collapsed="false">
      <c r="B9" s="133" t="s">
        <v>673</v>
      </c>
    </row>
    <row r="10" customFormat="false" ht="18" hidden="false" customHeight="true" outlineLevel="0" collapsed="false">
      <c r="B10" s="132"/>
    </row>
    <row r="11" customFormat="false" ht="18" hidden="false" customHeight="true" outlineLevel="0" collapsed="false">
      <c r="B11" s="131" t="s">
        <v>674</v>
      </c>
    </row>
    <row r="12" customFormat="false" ht="18" hidden="false" customHeight="true" outlineLevel="0" collapsed="false">
      <c r="B12" s="132" t="s">
        <v>675</v>
      </c>
    </row>
    <row r="13" customFormat="false" ht="18" hidden="false" customHeight="true" outlineLevel="0" collapsed="false">
      <c r="B13" s="133" t="s">
        <v>676</v>
      </c>
    </row>
    <row r="14" customFormat="false" ht="18" hidden="false" customHeight="true" outlineLevel="0" collapsed="false">
      <c r="B14" s="132" t="s">
        <v>677</v>
      </c>
    </row>
    <row r="15" customFormat="false" ht="18" hidden="false" customHeight="true" outlineLevel="0" collapsed="false">
      <c r="B15" s="133" t="s">
        <v>678</v>
      </c>
    </row>
    <row r="16" customFormat="false" ht="18" hidden="false" customHeight="true" outlineLevel="0" collapsed="false">
      <c r="B16" s="132"/>
    </row>
    <row r="17" customFormat="false" ht="18" hidden="false" customHeight="true" outlineLevel="0" collapsed="false">
      <c r="B17" s="131" t="s">
        <v>679</v>
      </c>
    </row>
    <row r="18" customFormat="false" ht="18" hidden="false" customHeight="true" outlineLevel="0" collapsed="false">
      <c r="B18" s="132" t="s">
        <v>680</v>
      </c>
    </row>
    <row r="19" customFormat="false" ht="18" hidden="false" customHeight="true" outlineLevel="0" collapsed="false">
      <c r="B19" s="133" t="s">
        <v>681</v>
      </c>
    </row>
    <row r="20" customFormat="false" ht="18" hidden="false" customHeight="true" outlineLevel="0" collapsed="false">
      <c r="B20" s="132" t="s">
        <v>682</v>
      </c>
    </row>
    <row r="21" customFormat="false" ht="18" hidden="false" customHeight="true" outlineLevel="0" collapsed="false">
      <c r="B21" s="133"/>
    </row>
    <row r="22" customFormat="false" ht="18" hidden="false" customHeight="true" outlineLevel="0" collapsed="false">
      <c r="B22" s="131" t="s">
        <v>683</v>
      </c>
    </row>
    <row r="23" customFormat="false" ht="18" hidden="false" customHeight="true" outlineLevel="0" collapsed="false">
      <c r="B23" s="133" t="s">
        <v>684</v>
      </c>
    </row>
    <row r="24" customFormat="false" ht="18" hidden="false" customHeight="true" outlineLevel="0" collapsed="false">
      <c r="B24" s="132" t="s">
        <v>685</v>
      </c>
    </row>
    <row r="25" customFormat="false" ht="18" hidden="false" customHeight="true" outlineLevel="0" collapsed="false">
      <c r="B25" s="133" t="s">
        <v>686</v>
      </c>
    </row>
    <row r="26" customFormat="false" ht="18" hidden="false" customHeight="true" outlineLevel="0" collapsed="false">
      <c r="B26" s="132" t="s">
        <v>687</v>
      </c>
    </row>
    <row r="27" customFormat="false" ht="18" hidden="false" customHeight="true" outlineLevel="0" collapsed="false">
      <c r="B27" s="133" t="s">
        <v>688</v>
      </c>
    </row>
    <row r="28" customFormat="false" ht="18" hidden="false" customHeight="true" outlineLevel="0" collapsed="false">
      <c r="B28" s="132" t="s">
        <v>689</v>
      </c>
    </row>
    <row r="29" customFormat="false" ht="18" hidden="false" customHeight="true" outlineLevel="0" collapsed="false">
      <c r="B29" s="133" t="s">
        <v>690</v>
      </c>
    </row>
    <row r="30" customFormat="false" ht="18" hidden="false" customHeight="true" outlineLevel="0" collapsed="false">
      <c r="B30" s="132"/>
    </row>
    <row r="31" customFormat="false" ht="18" hidden="false" customHeight="true" outlineLevel="0" collapsed="false">
      <c r="B31" s="133" t="s">
        <v>691</v>
      </c>
    </row>
    <row r="32" customFormat="false" ht="18" hidden="false" customHeight="true" outlineLevel="0" collapsed="false">
      <c r="B32" s="132" t="s">
        <v>692</v>
      </c>
    </row>
    <row r="33" customFormat="false" ht="18" hidden="false" customHeight="true" outlineLevel="0" collapsed="false">
      <c r="B33" s="133" t="s">
        <v>693</v>
      </c>
    </row>
    <row r="34" customFormat="false" ht="18" hidden="false" customHeight="true" outlineLevel="0" collapsed="false">
      <c r="B34" s="132" t="s">
        <v>694</v>
      </c>
    </row>
    <row r="35" customFormat="false" ht="18" hidden="false" customHeight="true" outlineLevel="0" collapsed="false">
      <c r="B35" s="133" t="s">
        <v>695</v>
      </c>
    </row>
    <row r="36" customFormat="false" ht="18" hidden="false" customHeight="true" outlineLevel="0" collapsed="false">
      <c r="B36" s="132" t="s">
        <v>696</v>
      </c>
    </row>
    <row r="37" customFormat="false" ht="18" hidden="false" customHeight="true" outlineLevel="0" collapsed="false">
      <c r="B37" s="133"/>
    </row>
    <row r="38" customFormat="false" ht="18" hidden="false" customHeight="true" outlineLevel="0" collapsed="false">
      <c r="B38" s="131" t="s">
        <v>697</v>
      </c>
    </row>
    <row r="39" customFormat="false" ht="18" hidden="false" customHeight="true" outlineLevel="0" collapsed="false">
      <c r="B39" s="133" t="s">
        <v>698</v>
      </c>
    </row>
    <row r="40" customFormat="false" ht="18" hidden="false" customHeight="true" outlineLevel="0" collapsed="false">
      <c r="B40" s="132" t="s">
        <v>699</v>
      </c>
    </row>
    <row r="41" customFormat="false" ht="18" hidden="false" customHeight="true" outlineLevel="0" collapsed="false">
      <c r="B41" s="133" t="s">
        <v>700</v>
      </c>
    </row>
    <row r="42" customFormat="false" ht="18" hidden="false" customHeight="true" outlineLevel="0" collapsed="false">
      <c r="B42" s="132" t="s">
        <v>701</v>
      </c>
    </row>
    <row r="43" customFormat="false" ht="18" hidden="false" customHeight="true" outlineLevel="0" collapsed="false">
      <c r="B43" s="133"/>
    </row>
    <row r="44" customFormat="false" ht="18" hidden="false" customHeight="true" outlineLevel="0" collapsed="false">
      <c r="B44" s="131" t="s">
        <v>702</v>
      </c>
    </row>
    <row r="45" customFormat="false" ht="18" hidden="false" customHeight="true" outlineLevel="0" collapsed="false">
      <c r="B45" s="133" t="s">
        <v>703</v>
      </c>
    </row>
    <row r="46" customFormat="false" ht="18" hidden="false" customHeight="true" outlineLevel="0" collapsed="false">
      <c r="B46" s="132" t="s">
        <v>704</v>
      </c>
    </row>
    <row r="47" customFormat="false" ht="18" hidden="false" customHeight="true" outlineLevel="0" collapsed="false">
      <c r="B47" s="133" t="s">
        <v>705</v>
      </c>
    </row>
    <row r="48" customFormat="false" ht="18" hidden="false" customHeight="true" outlineLevel="0" collapsed="false">
      <c r="B48" s="132" t="s">
        <v>706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98" t="s">
        <v>707</v>
      </c>
      <c r="B1" s="98"/>
      <c r="C1" s="98"/>
      <c r="D1" s="98"/>
      <c r="E1" s="98"/>
      <c r="F1" s="98"/>
      <c r="G1" s="98"/>
      <c r="H1" s="98"/>
    </row>
    <row r="3" customFormat="false" ht="19.5" hidden="false" customHeight="true" outlineLevel="0" collapsed="false">
      <c r="A3" s="5" t="s">
        <v>708</v>
      </c>
      <c r="B3" s="5" t="s">
        <v>709</v>
      </c>
      <c r="C3" s="5" t="s">
        <v>710</v>
      </c>
      <c r="D3" s="5" t="s">
        <v>711</v>
      </c>
      <c r="E3" s="5" t="s">
        <v>712</v>
      </c>
      <c r="F3" s="5" t="s">
        <v>286</v>
      </c>
    </row>
    <row r="4" customFormat="false" ht="39.75" hidden="false" customHeight="true" outlineLevel="0" collapsed="false">
      <c r="A4" s="134" t="s">
        <v>713</v>
      </c>
      <c r="B4" s="135" t="s">
        <v>714</v>
      </c>
      <c r="C4" s="135" t="s">
        <v>715</v>
      </c>
      <c r="D4" s="136" t="s">
        <v>716</v>
      </c>
      <c r="E4" s="137" t="s">
        <v>717</v>
      </c>
      <c r="F4" s="137" t="s">
        <v>718</v>
      </c>
    </row>
    <row r="6" customFormat="false" ht="18" hidden="false" customHeight="true" outlineLevel="0" collapsed="false">
      <c r="A6" s="5" t="s">
        <v>719</v>
      </c>
      <c r="B6" s="5" t="s">
        <v>720</v>
      </c>
      <c r="C6" s="5" t="s">
        <v>721</v>
      </c>
      <c r="D6" s="5" t="s">
        <v>722</v>
      </c>
      <c r="E6" s="5" t="s">
        <v>723</v>
      </c>
    </row>
    <row r="7" customFormat="false" ht="16.5" hidden="false" customHeight="true" outlineLevel="0" collapsed="false">
      <c r="A7" s="61" t="s">
        <v>724</v>
      </c>
      <c r="B7" s="138" t="n">
        <v>1000000</v>
      </c>
      <c r="C7" s="139" t="n">
        <v>1000000</v>
      </c>
      <c r="D7" s="140" t="n">
        <v>0</v>
      </c>
      <c r="E7" s="141" t="n">
        <v>0</v>
      </c>
    </row>
    <row r="8" customFormat="false" ht="16.5" hidden="false" customHeight="true" outlineLevel="0" collapsed="false">
      <c r="A8" s="45" t="s">
        <v>725</v>
      </c>
      <c r="B8" s="142" t="n">
        <v>1728752</v>
      </c>
      <c r="C8" s="143" t="n">
        <v>963483</v>
      </c>
      <c r="D8" s="19" t="n">
        <v>0.729</v>
      </c>
      <c r="E8" s="127" t="n">
        <v>-0.037</v>
      </c>
    </row>
    <row r="9" customFormat="false" ht="16.5" hidden="false" customHeight="true" outlineLevel="0" collapsed="false">
      <c r="A9" s="61" t="s">
        <v>726</v>
      </c>
      <c r="B9" s="138" t="n">
        <v>2405685</v>
      </c>
      <c r="C9" s="139" t="n">
        <v>912234</v>
      </c>
      <c r="D9" s="140" t="n">
        <v>1.406</v>
      </c>
      <c r="E9" s="144" t="n">
        <v>-0.088</v>
      </c>
    </row>
    <row r="10" customFormat="false" ht="16.5" hidden="false" customHeight="true" outlineLevel="0" collapsed="false">
      <c r="A10" s="45" t="s">
        <v>727</v>
      </c>
      <c r="B10" s="142" t="n">
        <v>2405685</v>
      </c>
      <c r="C10" s="143" t="n">
        <v>923128</v>
      </c>
      <c r="D10" s="19" t="n">
        <v>1.406</v>
      </c>
      <c r="E10" s="127" t="n">
        <v>-0.077</v>
      </c>
    </row>
    <row r="11" customFormat="false" ht="16.5" hidden="false" customHeight="true" outlineLevel="0" collapsed="false">
      <c r="A11" s="61" t="s">
        <v>728</v>
      </c>
      <c r="B11" s="138" t="n">
        <v>2405685</v>
      </c>
      <c r="C11" s="139" t="n">
        <v>916576</v>
      </c>
      <c r="D11" s="140" t="n">
        <v>1.406</v>
      </c>
      <c r="E11" s="144" t="n">
        <v>-0.083</v>
      </c>
    </row>
    <row r="12" customFormat="false" ht="16.5" hidden="false" customHeight="true" outlineLevel="0" collapsed="false">
      <c r="A12" s="45" t="s">
        <v>729</v>
      </c>
      <c r="B12" s="142" t="n">
        <v>2405685</v>
      </c>
      <c r="C12" s="143" t="n">
        <v>897930</v>
      </c>
      <c r="D12" s="19" t="n">
        <v>1.406</v>
      </c>
      <c r="E12" s="127" t="n">
        <v>-0.102</v>
      </c>
    </row>
    <row r="13" customFormat="false" ht="16.5" hidden="false" customHeight="true" outlineLevel="0" collapsed="false">
      <c r="A13" s="61" t="s">
        <v>730</v>
      </c>
      <c r="B13" s="138" t="n">
        <v>2405685</v>
      </c>
      <c r="C13" s="139" t="n">
        <v>865909</v>
      </c>
      <c r="D13" s="140" t="n">
        <v>1.406</v>
      </c>
      <c r="E13" s="144" t="n">
        <v>-0.134</v>
      </c>
    </row>
    <row r="14" customFormat="false" ht="16.5" hidden="false" customHeight="true" outlineLevel="0" collapsed="false">
      <c r="A14" s="45" t="s">
        <v>731</v>
      </c>
      <c r="B14" s="142" t="n">
        <v>2405685</v>
      </c>
      <c r="C14" s="143" t="n">
        <v>911731</v>
      </c>
      <c r="D14" s="19" t="n">
        <v>1.406</v>
      </c>
      <c r="E14" s="127" t="n">
        <v>-0.088</v>
      </c>
    </row>
    <row r="15" customFormat="false" ht="16.5" hidden="false" customHeight="true" outlineLevel="0" collapsed="false">
      <c r="A15" s="61" t="s">
        <v>732</v>
      </c>
      <c r="B15" s="138" t="n">
        <v>2405685</v>
      </c>
      <c r="C15" s="139" t="n">
        <v>931889</v>
      </c>
      <c r="D15" s="140" t="n">
        <v>1.406</v>
      </c>
      <c r="E15" s="144" t="n">
        <v>-0.068</v>
      </c>
    </row>
    <row r="16" customFormat="false" ht="16.5" hidden="false" customHeight="true" outlineLevel="0" collapsed="false">
      <c r="A16" s="45" t="s">
        <v>733</v>
      </c>
      <c r="B16" s="142" t="n">
        <v>2405685</v>
      </c>
      <c r="C16" s="143" t="n">
        <v>935688</v>
      </c>
      <c r="D16" s="19" t="n">
        <v>1.406</v>
      </c>
      <c r="E16" s="127" t="n">
        <v>-0.064</v>
      </c>
    </row>
    <row r="17" customFormat="false" ht="16.5" hidden="false" customHeight="true" outlineLevel="0" collapsed="false">
      <c r="A17" s="61" t="s">
        <v>734</v>
      </c>
      <c r="B17" s="138" t="n">
        <v>2405685</v>
      </c>
      <c r="C17" s="139" t="n">
        <v>962785</v>
      </c>
      <c r="D17" s="140" t="n">
        <v>1.406</v>
      </c>
      <c r="E17" s="144" t="n">
        <v>-0.037</v>
      </c>
    </row>
    <row r="18" customFormat="false" ht="16.5" hidden="false" customHeight="true" outlineLevel="0" collapsed="false">
      <c r="A18" s="45" t="s">
        <v>735</v>
      </c>
      <c r="B18" s="142" t="n">
        <v>2405685</v>
      </c>
      <c r="C18" s="143" t="n">
        <v>978252</v>
      </c>
      <c r="D18" s="19" t="n">
        <v>1.406</v>
      </c>
      <c r="E18" s="127" t="n">
        <v>-0.022</v>
      </c>
    </row>
    <row r="19" customFormat="false" ht="16.5" hidden="false" customHeight="true" outlineLevel="0" collapsed="false">
      <c r="A19" s="61" t="s">
        <v>736</v>
      </c>
      <c r="B19" s="138" t="n">
        <v>2405685</v>
      </c>
      <c r="C19" s="139" t="n">
        <v>1000543</v>
      </c>
      <c r="D19" s="140" t="n">
        <v>1.406</v>
      </c>
      <c r="E19" s="141" t="n">
        <v>0.001</v>
      </c>
    </row>
    <row r="20" customFormat="false" ht="16.5" hidden="false" customHeight="true" outlineLevel="0" collapsed="false">
      <c r="A20" s="45" t="s">
        <v>737</v>
      </c>
      <c r="B20" s="142" t="n">
        <v>2405685</v>
      </c>
      <c r="C20" s="143" t="n">
        <v>938324</v>
      </c>
      <c r="D20" s="19" t="n">
        <v>1.406</v>
      </c>
      <c r="E20" s="127" t="n">
        <v>-0.062</v>
      </c>
    </row>
    <row r="21" customFormat="false" ht="16.5" hidden="false" customHeight="true" outlineLevel="0" collapsed="false">
      <c r="A21" s="61" t="s">
        <v>738</v>
      </c>
      <c r="B21" s="138" t="n">
        <v>2412760</v>
      </c>
      <c r="C21" s="139" t="n">
        <v>926772</v>
      </c>
      <c r="D21" s="140" t="n">
        <v>1.413</v>
      </c>
      <c r="E21" s="144" t="n">
        <v>-0.073</v>
      </c>
    </row>
    <row r="22" customFormat="false" ht="16.5" hidden="false" customHeight="true" outlineLevel="0" collapsed="false">
      <c r="A22" s="45" t="s">
        <v>739</v>
      </c>
      <c r="B22" s="142" t="n">
        <v>2400641</v>
      </c>
      <c r="C22" s="143" t="n">
        <v>916615</v>
      </c>
      <c r="D22" s="19" t="n">
        <v>1.401</v>
      </c>
      <c r="E22" s="127" t="n">
        <v>-0.083</v>
      </c>
    </row>
    <row r="23" customFormat="false" ht="16.5" hidden="false" customHeight="true" outlineLevel="0" collapsed="false">
      <c r="A23" s="61" t="s">
        <v>740</v>
      </c>
      <c r="B23" s="138" t="n">
        <v>2386747</v>
      </c>
      <c r="C23" s="139" t="n">
        <v>897891</v>
      </c>
      <c r="D23" s="140" t="n">
        <v>1.387</v>
      </c>
      <c r="E23" s="144" t="n">
        <v>-0.102</v>
      </c>
    </row>
    <row r="24" customFormat="false" ht="16.5" hidden="false" customHeight="true" outlineLevel="0" collapsed="false">
      <c r="A24" s="45" t="s">
        <v>741</v>
      </c>
      <c r="B24" s="142" t="n">
        <v>2323976</v>
      </c>
      <c r="C24" s="143" t="n">
        <v>883664</v>
      </c>
      <c r="D24" s="19" t="n">
        <v>1.324</v>
      </c>
      <c r="E24" s="127" t="n">
        <v>-0.116</v>
      </c>
    </row>
    <row r="25" customFormat="false" ht="16.5" hidden="false" customHeight="true" outlineLevel="0" collapsed="false">
      <c r="A25" s="61" t="s">
        <v>742</v>
      </c>
      <c r="B25" s="138" t="n">
        <v>2426526</v>
      </c>
      <c r="C25" s="139" t="n">
        <v>917119</v>
      </c>
      <c r="D25" s="140" t="n">
        <v>1.427</v>
      </c>
      <c r="E25" s="144" t="n">
        <v>-0.083</v>
      </c>
    </row>
    <row r="26" customFormat="false" ht="16.5" hidden="false" customHeight="true" outlineLevel="0" collapsed="false">
      <c r="A26" s="45" t="s">
        <v>743</v>
      </c>
      <c r="B26" s="142" t="n">
        <v>2299517</v>
      </c>
      <c r="C26" s="143" t="n">
        <v>914522</v>
      </c>
      <c r="D26" s="19" t="n">
        <v>1.3</v>
      </c>
      <c r="E26" s="127" t="n">
        <v>-0.085</v>
      </c>
    </row>
    <row r="27" customFormat="false" ht="16.5" hidden="false" customHeight="true" outlineLevel="0" collapsed="false">
      <c r="A27" s="61" t="s">
        <v>744</v>
      </c>
      <c r="B27" s="138" t="n">
        <v>2565184</v>
      </c>
      <c r="C27" s="139" t="n">
        <v>957513</v>
      </c>
      <c r="D27" s="140" t="n">
        <v>1.565</v>
      </c>
      <c r="E27" s="144" t="n">
        <v>-0.042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98" t="s">
        <v>745</v>
      </c>
      <c r="B1" s="98"/>
    </row>
    <row r="3" customFormat="false" ht="15.75" hidden="false" customHeight="true" outlineLevel="0" collapsed="false">
      <c r="B3" s="145" t="s">
        <v>746</v>
      </c>
    </row>
    <row r="4" customFormat="false" ht="15.75" hidden="false" customHeight="true" outlineLevel="0" collapsed="false">
      <c r="B4" s="146" t="s">
        <v>747</v>
      </c>
    </row>
    <row r="5" customFormat="false" ht="15.75" hidden="false" customHeight="true" outlineLevel="0" collapsed="false">
      <c r="B5" s="145" t="s">
        <v>748</v>
      </c>
    </row>
    <row r="6" customFormat="false" ht="15.75" hidden="false" customHeight="true" outlineLevel="0" collapsed="false">
      <c r="B6" s="146"/>
    </row>
    <row r="7" customFormat="false" ht="15.75" hidden="false" customHeight="true" outlineLevel="0" collapsed="false">
      <c r="B7" s="145" t="s">
        <v>749</v>
      </c>
    </row>
    <row r="8" customFormat="false" ht="15.75" hidden="false" customHeight="true" outlineLevel="0" collapsed="false">
      <c r="B8" s="146" t="s">
        <v>750</v>
      </c>
    </row>
    <row r="9" customFormat="false" ht="15.75" hidden="false" customHeight="true" outlineLevel="0" collapsed="false">
      <c r="B9" s="145" t="s">
        <v>751</v>
      </c>
    </row>
    <row r="10" customFormat="false" ht="15.75" hidden="false" customHeight="true" outlineLevel="0" collapsed="false">
      <c r="B10" s="146" t="s">
        <v>752</v>
      </c>
    </row>
    <row r="11" customFormat="false" ht="15.75" hidden="false" customHeight="true" outlineLevel="0" collapsed="false">
      <c r="B11" s="145" t="s">
        <v>753</v>
      </c>
    </row>
    <row r="12" customFormat="false" ht="15.75" hidden="false" customHeight="true" outlineLevel="0" collapsed="false">
      <c r="B12" s="146" t="s">
        <v>754</v>
      </c>
    </row>
    <row r="13" customFormat="false" ht="15.75" hidden="false" customHeight="true" outlineLevel="0" collapsed="false">
      <c r="B13" s="145" t="s">
        <v>755</v>
      </c>
    </row>
    <row r="14" customFormat="false" ht="15.75" hidden="false" customHeight="true" outlineLevel="0" collapsed="false">
      <c r="B14" s="146" t="s">
        <v>756</v>
      </c>
    </row>
    <row r="15" customFormat="false" ht="15.75" hidden="false" customHeight="true" outlineLevel="0" collapsed="false">
      <c r="B15" s="145" t="s">
        <v>757</v>
      </c>
    </row>
    <row r="16" customFormat="false" ht="15.75" hidden="false" customHeight="true" outlineLevel="0" collapsed="false">
      <c r="B16" s="146" t="s">
        <v>758</v>
      </c>
    </row>
    <row r="17" customFormat="false" ht="15.75" hidden="false" customHeight="true" outlineLevel="0" collapsed="false">
      <c r="B17" s="145" t="s">
        <v>759</v>
      </c>
    </row>
    <row r="18" customFormat="false" ht="15.75" hidden="false" customHeight="true" outlineLevel="0" collapsed="false">
      <c r="B18" s="146" t="s">
        <v>760</v>
      </c>
    </row>
    <row r="19" customFormat="false" ht="15.75" hidden="false" customHeight="true" outlineLevel="0" collapsed="false">
      <c r="B19" s="145" t="s">
        <v>761</v>
      </c>
    </row>
    <row r="20" customFormat="false" ht="15.75" hidden="false" customHeight="true" outlineLevel="0" collapsed="false">
      <c r="B20" s="146" t="s">
        <v>762</v>
      </c>
    </row>
    <row r="21" customFormat="false" ht="15.75" hidden="false" customHeight="true" outlineLevel="0" collapsed="false">
      <c r="B21" s="145" t="s">
        <v>763</v>
      </c>
    </row>
    <row r="22" customFormat="false" ht="15.75" hidden="false" customHeight="true" outlineLevel="0" collapsed="false">
      <c r="B22" s="146" t="s">
        <v>764</v>
      </c>
    </row>
    <row r="23" customFormat="false" ht="15.75" hidden="false" customHeight="true" outlineLevel="0" collapsed="false">
      <c r="B23" s="145" t="s">
        <v>765</v>
      </c>
    </row>
    <row r="24" customFormat="false" ht="15.75" hidden="false" customHeight="true" outlineLevel="0" collapsed="false">
      <c r="B24" s="146" t="s">
        <v>766</v>
      </c>
    </row>
    <row r="25" customFormat="false" ht="15.75" hidden="false" customHeight="true" outlineLevel="0" collapsed="false">
      <c r="B25" s="145" t="s">
        <v>767</v>
      </c>
    </row>
    <row r="26" customFormat="false" ht="15.75" hidden="false" customHeight="true" outlineLevel="0" collapsed="false">
      <c r="B26" s="146" t="s">
        <v>768</v>
      </c>
    </row>
    <row r="27" customFormat="false" ht="15.75" hidden="false" customHeight="true" outlineLevel="0" collapsed="false">
      <c r="B27" s="145" t="s">
        <v>769</v>
      </c>
    </row>
    <row r="28" customFormat="false" ht="15.75" hidden="false" customHeight="true" outlineLevel="0" collapsed="false">
      <c r="B28" s="146" t="s">
        <v>770</v>
      </c>
    </row>
    <row r="29" customFormat="false" ht="15.75" hidden="false" customHeight="true" outlineLevel="0" collapsed="false">
      <c r="B29" s="145"/>
    </row>
    <row r="30" customFormat="false" ht="15.75" hidden="false" customHeight="true" outlineLevel="0" collapsed="false">
      <c r="B30" s="146" t="s">
        <v>771</v>
      </c>
    </row>
    <row r="31" customFormat="false" ht="15.75" hidden="false" customHeight="true" outlineLevel="0" collapsed="false">
      <c r="B31" s="145" t="s">
        <v>772</v>
      </c>
    </row>
    <row r="32" customFormat="false" ht="15.75" hidden="false" customHeight="true" outlineLevel="0" collapsed="false">
      <c r="B32" s="146" t="s">
        <v>773</v>
      </c>
    </row>
    <row r="33" customFormat="false" ht="15.75" hidden="false" customHeight="true" outlineLevel="0" collapsed="false">
      <c r="B33" s="145" t="s">
        <v>774</v>
      </c>
    </row>
    <row r="34" customFormat="false" ht="15.75" hidden="false" customHeight="true" outlineLevel="0" collapsed="false">
      <c r="B34" s="146" t="s">
        <v>775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2026-06-03T08:20:34Z</dcterms:created>
  <dc:creator>openpyxl</dc:creator>
  <dc:description/>
  <dc:language>en-US</dc:language>
  <cp:lastModifiedBy/>
  <dcterms:modified xsi:type="dcterms:W3CDTF">2026-06-03T16:40:47Z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