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piyan\Downloads\"/>
    </mc:Choice>
  </mc:AlternateContent>
  <xr:revisionPtr revIDLastSave="0" documentId="13_ncr:1_{D32C024A-D31F-4FA6-B95F-A44EAB1EF883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Trade Tracker" sheetId="1" r:id="rId1"/>
    <sheet name="Performance Dashboard" sheetId="2" r:id="rId2"/>
    <sheet name="💰 Portfolio Simulator" sheetId="3" r:id="rId3"/>
    <sheet name="🔔 Alert Board" sheetId="4" r:id="rId4"/>
    <sheet name="Sector Analysis" sheetId="5" r:id="rId5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M157" i="1" l="1"/>
  <c r="H157" i="1"/>
  <c r="P157" i="1" s="1"/>
  <c r="M156" i="1"/>
  <c r="H156" i="1"/>
  <c r="P156" i="1" s="1"/>
  <c r="M155" i="1"/>
  <c r="H155" i="1"/>
  <c r="P155" i="1" s="1"/>
  <c r="P154" i="1"/>
  <c r="M154" i="1"/>
  <c r="H154" i="1"/>
  <c r="P153" i="1"/>
  <c r="M153" i="1"/>
  <c r="H153" i="1"/>
  <c r="M152" i="1"/>
  <c r="H152" i="1"/>
  <c r="P152" i="1" s="1"/>
  <c r="M151" i="1"/>
  <c r="H151" i="1"/>
  <c r="P151" i="1" s="1"/>
  <c r="P150" i="1"/>
  <c r="M150" i="1"/>
  <c r="H150" i="1"/>
  <c r="P149" i="1"/>
  <c r="M149" i="1"/>
  <c r="H149" i="1"/>
  <c r="M148" i="1"/>
  <c r="H148" i="1"/>
  <c r="P148" i="1" s="1"/>
  <c r="M147" i="1"/>
  <c r="H147" i="1"/>
  <c r="P147" i="1" s="1"/>
  <c r="P146" i="1"/>
  <c r="M146" i="1"/>
  <c r="H146" i="1"/>
  <c r="P145" i="1"/>
  <c r="M145" i="1"/>
  <c r="H145" i="1"/>
  <c r="M144" i="1"/>
  <c r="H144" i="1"/>
  <c r="P144" i="1" s="1"/>
  <c r="M143" i="1"/>
  <c r="H143" i="1"/>
  <c r="P143" i="1" s="1"/>
  <c r="P142" i="1"/>
  <c r="M142" i="1"/>
  <c r="H142" i="1"/>
  <c r="P141" i="1"/>
  <c r="M141" i="1"/>
  <c r="H141" i="1"/>
  <c r="M140" i="1"/>
  <c r="H140" i="1"/>
  <c r="P140" i="1" s="1"/>
  <c r="M139" i="1"/>
  <c r="H139" i="1"/>
  <c r="P139" i="1" s="1"/>
  <c r="P138" i="1"/>
  <c r="M138" i="1"/>
  <c r="H138" i="1"/>
  <c r="H137" i="1"/>
  <c r="P137" i="1" s="1"/>
  <c r="H136" i="1"/>
  <c r="H135" i="1"/>
  <c r="H134" i="1"/>
  <c r="H133" i="1"/>
  <c r="P133" i="1" s="1"/>
  <c r="H132" i="1"/>
  <c r="M132" i="1" s="1"/>
  <c r="N132" i="1" s="1"/>
  <c r="H131" i="1"/>
  <c r="H130" i="1"/>
  <c r="H129" i="1"/>
  <c r="P129" i="1" s="1"/>
  <c r="H128" i="1"/>
  <c r="H127" i="1"/>
  <c r="H126" i="1"/>
  <c r="H125" i="1"/>
  <c r="H124" i="1"/>
  <c r="H123" i="1"/>
  <c r="H122" i="1"/>
  <c r="H121" i="1"/>
  <c r="H120" i="1"/>
  <c r="P120" i="1" s="1"/>
  <c r="H119" i="1"/>
  <c r="H118" i="1"/>
  <c r="H117" i="1"/>
  <c r="H116" i="1"/>
  <c r="P116" i="1" s="1"/>
  <c r="H115" i="1"/>
  <c r="H114" i="1"/>
  <c r="H113" i="1"/>
  <c r="H112" i="1"/>
  <c r="H111" i="1"/>
  <c r="H110" i="1"/>
  <c r="H109" i="1"/>
  <c r="H108" i="1"/>
  <c r="H107" i="1"/>
  <c r="H106" i="1"/>
  <c r="H105" i="1"/>
  <c r="H104" i="1"/>
  <c r="H103" i="1"/>
  <c r="H102" i="1"/>
  <c r="P102" i="1" s="1"/>
  <c r="H101" i="1"/>
  <c r="H100" i="1"/>
  <c r="H99" i="1"/>
  <c r="H98" i="1"/>
  <c r="H97" i="1"/>
  <c r="H96" i="1"/>
  <c r="H95" i="1"/>
  <c r="H94" i="1"/>
  <c r="H93" i="1"/>
  <c r="H92" i="1"/>
  <c r="H91" i="1"/>
  <c r="H90" i="1"/>
  <c r="H89" i="1"/>
  <c r="H88" i="1"/>
  <c r="M88" i="1" s="1"/>
  <c r="N88" i="1" s="1"/>
  <c r="H87" i="1"/>
  <c r="H86" i="1"/>
  <c r="H85" i="1"/>
  <c r="P85" i="1" s="1"/>
  <c r="H84" i="1"/>
  <c r="H83" i="1"/>
  <c r="H82" i="1"/>
  <c r="H81" i="1"/>
  <c r="M81" i="1" s="1"/>
  <c r="N81" i="1" s="1"/>
  <c r="H80" i="1"/>
  <c r="H79" i="1"/>
  <c r="H78" i="1"/>
  <c r="H77" i="1"/>
  <c r="H76" i="1"/>
  <c r="M76" i="1" s="1"/>
  <c r="N76" i="1" s="1"/>
  <c r="H75" i="1"/>
  <c r="M75" i="1" s="1"/>
  <c r="N75" i="1" s="1"/>
  <c r="H74" i="1"/>
  <c r="H73" i="1"/>
  <c r="H72" i="1"/>
  <c r="H71" i="1"/>
  <c r="H70" i="1"/>
  <c r="H69" i="1"/>
  <c r="H68" i="1"/>
  <c r="H67" i="1"/>
  <c r="H66" i="1"/>
  <c r="H65" i="1"/>
  <c r="H64" i="1"/>
  <c r="P64" i="1" s="1"/>
  <c r="H63" i="1"/>
  <c r="H62" i="1"/>
  <c r="H61" i="1"/>
  <c r="M61" i="1" s="1"/>
  <c r="N61" i="1" s="1"/>
  <c r="H60" i="1"/>
  <c r="H59" i="1"/>
  <c r="H58" i="1"/>
  <c r="H57" i="1"/>
  <c r="H56" i="1"/>
  <c r="H55" i="1"/>
  <c r="H54" i="1"/>
  <c r="P54" i="1" s="1"/>
  <c r="H53" i="1"/>
  <c r="H52" i="1"/>
  <c r="H51" i="1"/>
  <c r="M51" i="1" s="1"/>
  <c r="N51" i="1" s="1"/>
  <c r="H50" i="1"/>
  <c r="H49" i="1"/>
  <c r="H48" i="1"/>
  <c r="H47" i="1"/>
  <c r="H46" i="1"/>
  <c r="H45" i="1"/>
  <c r="H44" i="1"/>
  <c r="H43" i="1"/>
  <c r="H42" i="1"/>
  <c r="H41" i="1"/>
  <c r="P41" i="1" s="1"/>
  <c r="H40" i="1"/>
  <c r="H39" i="1"/>
  <c r="H38" i="1"/>
  <c r="H37" i="1"/>
  <c r="H36" i="1"/>
  <c r="H35" i="1"/>
  <c r="H34" i="1"/>
  <c r="H33" i="1"/>
  <c r="M33" i="1" s="1"/>
  <c r="N33" i="1" s="1"/>
  <c r="H32" i="1"/>
  <c r="H31" i="1"/>
  <c r="H30" i="1"/>
  <c r="H29" i="1"/>
  <c r="H28" i="1"/>
  <c r="H27" i="1"/>
  <c r="P27" i="1" s="1"/>
  <c r="H26" i="1"/>
  <c r="P26" i="1" s="1"/>
  <c r="H25" i="1"/>
  <c r="H24" i="1"/>
  <c r="H23" i="1"/>
  <c r="M23" i="1" s="1"/>
  <c r="N23" i="1" s="1"/>
  <c r="H22" i="1"/>
  <c r="H21" i="1"/>
  <c r="M21" i="1" s="1"/>
  <c r="N21" i="1" s="1"/>
  <c r="H20" i="1"/>
  <c r="M20" i="1" s="1"/>
  <c r="N20" i="1" s="1"/>
  <c r="H19" i="1"/>
  <c r="H18" i="1"/>
  <c r="H17" i="1"/>
  <c r="H16" i="1"/>
  <c r="H15" i="1"/>
  <c r="H14" i="1"/>
  <c r="H13" i="1"/>
  <c r="M13" i="1" s="1"/>
  <c r="N13" i="1" s="1"/>
  <c r="H12" i="1"/>
  <c r="H11" i="1"/>
  <c r="H10" i="1"/>
  <c r="H9" i="1"/>
  <c r="H8" i="1"/>
  <c r="H7" i="1"/>
  <c r="H6" i="1"/>
  <c r="H5" i="1"/>
  <c r="P88" i="1" l="1"/>
  <c r="P13" i="1"/>
  <c r="P20" i="1"/>
  <c r="M26" i="1"/>
  <c r="N26" i="1" s="1"/>
  <c r="M41" i="1"/>
  <c r="N41" i="1" s="1"/>
  <c r="M64" i="1"/>
  <c r="N64" i="1" s="1"/>
  <c r="P23" i="1"/>
  <c r="P75" i="1"/>
  <c r="M54" i="1"/>
  <c r="N54" i="1" s="1"/>
  <c r="M85" i="1"/>
  <c r="N85" i="1" s="1"/>
  <c r="M120" i="1"/>
  <c r="N120" i="1" s="1"/>
  <c r="M102" i="1"/>
  <c r="N102" i="1" s="1"/>
  <c r="M116" i="1"/>
  <c r="N116" i="1" s="1"/>
  <c r="P21" i="1"/>
  <c r="P33" i="1"/>
  <c r="P51" i="1"/>
  <c r="P61" i="1"/>
  <c r="P76" i="1"/>
  <c r="P81" i="1"/>
  <c r="M129" i="1"/>
  <c r="N129" i="1" s="1"/>
  <c r="P132" i="1"/>
  <c r="M137" i="1"/>
  <c r="N137" i="1" s="1"/>
  <c r="M133" i="1"/>
  <c r="N133" i="1" s="1"/>
  <c r="M27" i="1"/>
  <c r="N27" i="1" s="1"/>
</calcChain>
</file>

<file path=xl/sharedStrings.xml><?xml version="1.0" encoding="utf-8"?>
<sst xmlns="http://schemas.openxmlformats.org/spreadsheetml/2006/main" count="2178" uniqueCount="784">
  <si>
    <t>📈  STOCK RECOMMENDATION TRACKER  —  Live NSE/BSE via GOOGLEFINANCE</t>
  </si>
  <si>
    <t>WIN = Target hit &amp; locked (never reverses) · LOSS = SL capped at exit price · Days &amp; Exit Date are actual</t>
  </si>
  <si>
    <t>#</t>
  </si>
  <si>
    <t>Stock</t>
  </si>
  <si>
    <t>Company</t>
  </si>
  <si>
    <t>Rec Date</t>
  </si>
  <si>
    <t>Buy Low ₹</t>
  </si>
  <si>
    <t>Buy High ₹</t>
  </si>
  <si>
    <t>Exch</t>
  </si>
  <si>
    <t>Live CMP (Auto)</t>
  </si>
  <si>
    <t>T1 ₹</t>
  </si>
  <si>
    <t>T2 ₹</t>
  </si>
  <si>
    <t>T3 ₹</t>
  </si>
  <si>
    <t>Stop Loss ₹</t>
  </si>
  <si>
    <t>Live Status</t>
  </si>
  <si>
    <t>Alert</t>
  </si>
  <si>
    <t>Result</t>
  </si>
  <si>
    <t>% Return</t>
  </si>
  <si>
    <t>Best Target</t>
  </si>
  <si>
    <t>Days Held</t>
  </si>
  <si>
    <t>Sector</t>
  </si>
  <si>
    <t>Notes</t>
  </si>
  <si>
    <t>Exit Date</t>
  </si>
  <si>
    <t>HDFCBANK</t>
  </si>
  <si>
    <t>HDFC Bank</t>
  </si>
  <si>
    <t>2024-09-16</t>
  </si>
  <si>
    <t>NSE:</t>
  </si>
  <si>
    <t>🔴 EXITED — SL</t>
  </si>
  <si>
    <t>⚠️ SL Exit -2.5%</t>
  </si>
  <si>
    <t>LOSS</t>
  </si>
  <si>
    <t>SL</t>
  </si>
  <si>
    <t>Banking</t>
  </si>
  <si>
    <t>RBI policy</t>
  </si>
  <si>
    <t>01 Oct 2024</t>
  </si>
  <si>
    <t>INFY</t>
  </si>
  <si>
    <t>Infosys</t>
  </si>
  <si>
    <t>2024-10-05</t>
  </si>
  <si>
    <t>⚠️ SL Exit -2.9%</t>
  </si>
  <si>
    <t>IT</t>
  </si>
  <si>
    <t>Midcap IT tailwind</t>
  </si>
  <si>
    <t>20 Oct 2024</t>
  </si>
  <si>
    <t>TATAMOTORS</t>
  </si>
  <si>
    <t>Tata Motors</t>
  </si>
  <si>
    <t>2024-10-19</t>
  </si>
  <si>
    <t>⚠️ SL Exit -3.8%</t>
  </si>
  <si>
    <t>Auto</t>
  </si>
  <si>
    <t>EV segment</t>
  </si>
  <si>
    <t>03 Nov 2024</t>
  </si>
  <si>
    <t>SUNPHARMA</t>
  </si>
  <si>
    <t>Sun Pharma</t>
  </si>
  <si>
    <t>2024-10-30</t>
  </si>
  <si>
    <t>🏆 BOOKED — T1</t>
  </si>
  <si>
    <t>✅ Booked @ T1 +6.0%</t>
  </si>
  <si>
    <t>WIN</t>
  </si>
  <si>
    <t>T1</t>
  </si>
  <si>
    <t>Pharma</t>
  </si>
  <si>
    <t>US generics</t>
  </si>
  <si>
    <t>29 Nov 2024</t>
  </si>
  <si>
    <t>PNBHOUSING</t>
  </si>
  <si>
    <t>PNB HOUSING</t>
  </si>
  <si>
    <t>2025-10-23</t>
  </si>
  <si>
    <t>🏆 BOOKED — T3</t>
  </si>
  <si>
    <t>✅ Booked @ T3 +21.0%</t>
  </si>
  <si>
    <t>T3</t>
  </si>
  <si>
    <t>NBFC</t>
  </si>
  <si>
    <t>Housing demand</t>
  </si>
  <si>
    <t>22 Dec 2025</t>
  </si>
  <si>
    <t>CREDITACC</t>
  </si>
  <si>
    <t>CREDIT ACCESS</t>
  </si>
  <si>
    <t>2025-10-24</t>
  </si>
  <si>
    <t>✅ Booked @ T1 +6.9%</t>
  </si>
  <si>
    <t>Microfinance</t>
  </si>
  <si>
    <t>23 Nov 2025</t>
  </si>
  <si>
    <t>HINDALCO</t>
  </si>
  <si>
    <t>✅ Booked @ T3 +30.5%</t>
  </si>
  <si>
    <t>Metals</t>
  </si>
  <si>
    <t>Aluminium upcycle</t>
  </si>
  <si>
    <t>23 Dec 2025</t>
  </si>
  <si>
    <t>SHANTIGOLD</t>
  </si>
  <si>
    <t>SHANTI GOLD</t>
  </si>
  <si>
    <t>✅ Booked @ T1 +12.5%</t>
  </si>
  <si>
    <t>Gold jewellery</t>
  </si>
  <si>
    <t>NBCC</t>
  </si>
  <si>
    <t>–</t>
  </si>
  <si>
    <t>OPEN</t>
  </si>
  <si>
    <t>Real Estate</t>
  </si>
  <si>
    <t>Govt construction</t>
  </si>
  <si>
    <t>Open</t>
  </si>
  <si>
    <t>UJJIVANSFB</t>
  </si>
  <si>
    <t>UJJIVAN SFB</t>
  </si>
  <si>
    <t>2025-10-27</t>
  </si>
  <si>
    <t>✅ Booked @ T3 +24.8%</t>
  </si>
  <si>
    <t>SFB growth</t>
  </si>
  <si>
    <t>26 Dec 2025</t>
  </si>
  <si>
    <t>JMFINANCIL</t>
  </si>
  <si>
    <t>JMF</t>
  </si>
  <si>
    <t>⚠️ SL Exit -1.2%</t>
  </si>
  <si>
    <t>Finance</t>
  </si>
  <si>
    <t>IB &amp; lending</t>
  </si>
  <si>
    <t>11 Nov 2025</t>
  </si>
  <si>
    <t>BHARATWIRE</t>
  </si>
  <si>
    <t>BHARAT WIRE ROPES</t>
  </si>
  <si>
    <t>2025-10-28</t>
  </si>
  <si>
    <t>🏆 BOOKED — T2</t>
  </si>
  <si>
    <t>✅ Booked @ T2 +25.0%</t>
  </si>
  <si>
    <t>T2</t>
  </si>
  <si>
    <t>Wire demand</t>
  </si>
  <si>
    <t>12 Dec 2025</t>
  </si>
  <si>
    <t>AEROFLEX</t>
  </si>
  <si>
    <t>✅ Booked @ T3 +136.5%</t>
  </si>
  <si>
    <t>Industrials</t>
  </si>
  <si>
    <t>Flexible hose export</t>
  </si>
  <si>
    <t>27 Dec 2025</t>
  </si>
  <si>
    <t>ELGIEQUIP</t>
  </si>
  <si>
    <t>ELGI EQUIPMENT</t>
  </si>
  <si>
    <t>2025-10-29</t>
  </si>
  <si>
    <t>✅ Booked @ T2 +14.4%</t>
  </si>
  <si>
    <t>Compressor demand</t>
  </si>
  <si>
    <t>13 Dec 2025</t>
  </si>
  <si>
    <t>JAICORPLTD</t>
  </si>
  <si>
    <t>JAICORP</t>
  </si>
  <si>
    <t>⚠️ SL Exit -5.9%</t>
  </si>
  <si>
    <t>Land monetisation</t>
  </si>
  <si>
    <t>13 Nov 2025</t>
  </si>
  <si>
    <t>SAGILITY</t>
  </si>
  <si>
    <t>Healthcare BPO</t>
  </si>
  <si>
    <t>CANFINHOME</t>
  </si>
  <si>
    <t>CAN FIN HOMES</t>
  </si>
  <si>
    <t>Affordable housing</t>
  </si>
  <si>
    <t>NOCIL</t>
  </si>
  <si>
    <t>2025-10-30</t>
  </si>
  <si>
    <t>✅ Booked @ T1 +5.9%</t>
  </si>
  <si>
    <t>Chemicals</t>
  </si>
  <si>
    <t>Rubber chemicals</t>
  </si>
  <si>
    <t>29 Nov 2025</t>
  </si>
  <si>
    <t>DLINKINDIA</t>
  </si>
  <si>
    <t>DLINK</t>
  </si>
  <si>
    <t>Telecom</t>
  </si>
  <si>
    <t>Network infra</t>
  </si>
  <si>
    <t>BSE</t>
  </si>
  <si>
    <t>BSE Ltd</t>
  </si>
  <si>
    <t>2025-11-03</t>
  </si>
  <si>
    <t>✅ Booked @ T3 +56.2%</t>
  </si>
  <si>
    <t>Exchange volumes</t>
  </si>
  <si>
    <t>02 Jan 2026</t>
  </si>
  <si>
    <t>MRPL</t>
  </si>
  <si>
    <t>2025-11-04</t>
  </si>
  <si>
    <t>✅ Booked @ T1 +19.3%</t>
  </si>
  <si>
    <t>Energy</t>
  </si>
  <si>
    <t>Refining margins</t>
  </si>
  <si>
    <t>04 Dec 2025</t>
  </si>
  <si>
    <t>UTKARSHBNK</t>
  </si>
  <si>
    <t>UTKARSH BANK</t>
  </si>
  <si>
    <t>2025-11-07</t>
  </si>
  <si>
    <t>SFB expansion</t>
  </si>
  <si>
    <t>ASIANTILES</t>
  </si>
  <si>
    <t xml:space="preserve">ASIAN TILES </t>
  </si>
  <si>
    <t>2025-11-10</t>
  </si>
  <si>
    <t>Consumer</t>
  </si>
  <si>
    <t>Real estate linked</t>
  </si>
  <si>
    <t>RATNAVEER</t>
  </si>
  <si>
    <t>2025-11-11</t>
  </si>
  <si>
    <t>✅ Booked @ T1 +16.7%</t>
  </si>
  <si>
    <t>SS tubes export</t>
  </si>
  <si>
    <t>11 Dec 2025</t>
  </si>
  <si>
    <t>SATIN</t>
  </si>
  <si>
    <t>✅ Booked @ T3 +40.0%</t>
  </si>
  <si>
    <t>MFI recovery</t>
  </si>
  <si>
    <t>10 Jan 2026</t>
  </si>
  <si>
    <t>PRICOLLTD</t>
  </si>
  <si>
    <t>PRICOL</t>
  </si>
  <si>
    <t>2025-11-12</t>
  </si>
  <si>
    <t>✅ Booked @ T1 +9.1%</t>
  </si>
  <si>
    <t>Auto Ancillary</t>
  </si>
  <si>
    <t>EV content growth</t>
  </si>
  <si>
    <t>JAMNAAUTO</t>
  </si>
  <si>
    <t>JAMNA AUTO</t>
  </si>
  <si>
    <t>2025-11-14</t>
  </si>
  <si>
    <t>✅ Booked @ T3 +45.6%</t>
  </si>
  <si>
    <t>CV leaf springs</t>
  </si>
  <si>
    <t>13 Jan 2026</t>
  </si>
  <si>
    <t>GRASIM</t>
  </si>
  <si>
    <t>2025-11-17</t>
  </si>
  <si>
    <t>✅ Booked @ T2 +7.3%</t>
  </si>
  <si>
    <t>Paint+cement</t>
  </si>
  <si>
    <t>01 Jan 2026</t>
  </si>
  <si>
    <t>PVRINOX</t>
  </si>
  <si>
    <t>PVR</t>
  </si>
  <si>
    <t>Media</t>
  </si>
  <si>
    <t>Box office revival</t>
  </si>
  <si>
    <t>TITAN</t>
  </si>
  <si>
    <t>2025-11-18</t>
  </si>
  <si>
    <t>✅ Booked @ T3 +18.4%</t>
  </si>
  <si>
    <t>Jewellery demand</t>
  </si>
  <si>
    <t>17 Jan 2026</t>
  </si>
  <si>
    <t>BBTC</t>
  </si>
  <si>
    <t>⚠️ SL Exit -11.1%</t>
  </si>
  <si>
    <t>Agri</t>
  </si>
  <si>
    <t>Plantation play</t>
  </si>
  <si>
    <t>03 Dec 2025</t>
  </si>
  <si>
    <t>AWL</t>
  </si>
  <si>
    <t>2025-11-19</t>
  </si>
  <si>
    <t>⚠️ SL Exit -3.7%</t>
  </si>
  <si>
    <t>FMCG</t>
  </si>
  <si>
    <t>Edible oil play</t>
  </si>
  <si>
    <t>POLYMED</t>
  </si>
  <si>
    <t>2025-11-24</t>
  </si>
  <si>
    <t>🏆 BOOKED — T4</t>
  </si>
  <si>
    <t>✅ Booked @ T4 +0.0%</t>
  </si>
  <si>
    <t>T4</t>
  </si>
  <si>
    <t>Healthcare</t>
  </si>
  <si>
    <t>Medical devices</t>
  </si>
  <si>
    <t>24 Dec 2025</t>
  </si>
  <si>
    <t>YATHARTH</t>
  </si>
  <si>
    <t>✅ Booked @ T1 +30.8%</t>
  </si>
  <si>
    <t>Hospital growth</t>
  </si>
  <si>
    <t>GMRAIRPORT</t>
  </si>
  <si>
    <t>GMR AIRPORTS</t>
  </si>
  <si>
    <t>✅ Booked @ T1 +11.7%</t>
  </si>
  <si>
    <t>Infrastructure</t>
  </si>
  <si>
    <t>Aviation infra</t>
  </si>
  <si>
    <t>GRSE</t>
  </si>
  <si>
    <t>2025-11-27</t>
  </si>
  <si>
    <t>✅ Booked @ T1 +7.1%</t>
  </si>
  <si>
    <t>Defence</t>
  </si>
  <si>
    <t>Naval orders</t>
  </si>
  <si>
    <t>PPLPHARMA</t>
  </si>
  <si>
    <t>PPL PHARMA</t>
  </si>
  <si>
    <t>2025-11-28</t>
  </si>
  <si>
    <t>Generic export</t>
  </si>
  <si>
    <t>VBL</t>
  </si>
  <si>
    <t>2025-12-01</t>
  </si>
  <si>
    <t>✅ Booked @ T1 +4.2%</t>
  </si>
  <si>
    <t>Beverage volumes</t>
  </si>
  <si>
    <t>31 Dec 2025</t>
  </si>
  <si>
    <t>PNB</t>
  </si>
  <si>
    <t>2025-12-10</t>
  </si>
  <si>
    <t>⚠️ SL Exit -3.5%</t>
  </si>
  <si>
    <t>PSU bank</t>
  </si>
  <si>
    <t>25 Dec 2025</t>
  </si>
  <si>
    <t>⚠️ SL Exit -4.1%</t>
  </si>
  <si>
    <t>PARADEEP</t>
  </si>
  <si>
    <t>2025-12-15</t>
  </si>
  <si>
    <t>⚠️ SL Exit -3.3%</t>
  </si>
  <si>
    <t>Fertiliser demand</t>
  </si>
  <si>
    <t>30 Dec 2025</t>
  </si>
  <si>
    <t>NFL</t>
  </si>
  <si>
    <t>Urea demand</t>
  </si>
  <si>
    <t>JISLJALEQS</t>
  </si>
  <si>
    <t>JAIN IRRIGATION</t>
  </si>
  <si>
    <t>⚠️ SL Exit -5.0%</t>
  </si>
  <si>
    <t>Agri infrastructure</t>
  </si>
  <si>
    <t>HINDZINC</t>
  </si>
  <si>
    <t>HINDZNC</t>
  </si>
  <si>
    <t>2025-12-18</t>
  </si>
  <si>
    <t>✅ Booked @ T2 +21.7%</t>
  </si>
  <si>
    <t>Zinc cycle</t>
  </si>
  <si>
    <t>01 Feb 2026</t>
  </si>
  <si>
    <t>SWANCORP</t>
  </si>
  <si>
    <t>2025-12-23</t>
  </si>
  <si>
    <t>⚠️ SL Exit -5.3%</t>
  </si>
  <si>
    <t>Micro-cap play</t>
  </si>
  <si>
    <t>07 Jan 2026</t>
  </si>
  <si>
    <t>MOSCHIP</t>
  </si>
  <si>
    <t>2025-12-24</t>
  </si>
  <si>
    <t>✅ Booked @ T1 +15.0%</t>
  </si>
  <si>
    <t>Semiconductor play</t>
  </si>
  <si>
    <t>23 Jan 2026</t>
  </si>
  <si>
    <t>PETRONET</t>
  </si>
  <si>
    <t>2025-12-28</t>
  </si>
  <si>
    <t>LNG terminal</t>
  </si>
  <si>
    <t>JSL</t>
  </si>
  <si>
    <t>JINDAL STAINLESS</t>
  </si>
  <si>
    <t>2025-12-30</t>
  </si>
  <si>
    <t>⚠️ SL Exit -5.5%</t>
  </si>
  <si>
    <t>SS demand</t>
  </si>
  <si>
    <t>14 Jan 2026</t>
  </si>
  <si>
    <t>DAMCAPITAL</t>
  </si>
  <si>
    <t>2026-01-01</t>
  </si>
  <si>
    <t>⚠️ SL Exit -3.4%</t>
  </si>
  <si>
    <t>IB deal flow</t>
  </si>
  <si>
    <t>16 Jan 2026</t>
  </si>
  <si>
    <t>MAMATA</t>
  </si>
  <si>
    <t>Packaging</t>
  </si>
  <si>
    <t>Export play</t>
  </si>
  <si>
    <t>BHEL</t>
  </si>
  <si>
    <t>2026-01-02</t>
  </si>
  <si>
    <t>✅ Booked @ T3 +37.9%</t>
  </si>
  <si>
    <t>PSU capex</t>
  </si>
  <si>
    <t>03 Mar 2026</t>
  </si>
  <si>
    <t>GRAPHITE</t>
  </si>
  <si>
    <t>GRAPHITE INDIA</t>
  </si>
  <si>
    <t>✅ Booked @ T3 +25.0%</t>
  </si>
  <si>
    <t>EV anode demand</t>
  </si>
  <si>
    <t>RELIANCE</t>
  </si>
  <si>
    <t>Reliance Industries</t>
  </si>
  <si>
    <t>2026-01-05</t>
  </si>
  <si>
    <t>⚠️ SL Exit -1.6%</t>
  </si>
  <si>
    <t>Strong Q2</t>
  </si>
  <si>
    <t>20 Jan 2026</t>
  </si>
  <si>
    <t>PIRAMALFIN</t>
  </si>
  <si>
    <t>PIRAMAL FINANCE</t>
  </si>
  <si>
    <t>2026-01-06</t>
  </si>
  <si>
    <t>✅ Booked @ T3 +17.0%</t>
  </si>
  <si>
    <t>AIF growth</t>
  </si>
  <si>
    <t>07 Mar 2026</t>
  </si>
  <si>
    <t>MINDTECK</t>
  </si>
  <si>
    <t>⚠️ SL Exit 4.5%</t>
  </si>
  <si>
    <t>Tech services</t>
  </si>
  <si>
    <t>21 Jan 2026</t>
  </si>
  <si>
    <t>POONAWALLA</t>
  </si>
  <si>
    <t>Consumer lending</t>
  </si>
  <si>
    <t>NORTHARC</t>
  </si>
  <si>
    <t>NORTHERN ARC</t>
  </si>
  <si>
    <t>Credit growth</t>
  </si>
  <si>
    <t>SAMHI</t>
  </si>
  <si>
    <t>2026-01-07</t>
  </si>
  <si>
    <t>Hospitality</t>
  </si>
  <si>
    <t>Hotel expansion</t>
  </si>
  <si>
    <t>22 Jan 2026</t>
  </si>
  <si>
    <t>ARSSBL</t>
  </si>
  <si>
    <t>⚠️ SL Exit -3.1%</t>
  </si>
  <si>
    <t>Value buy</t>
  </si>
  <si>
    <t>TATATECH</t>
  </si>
  <si>
    <t>TATA TECH</t>
  </si>
  <si>
    <t>PLM demand</t>
  </si>
  <si>
    <t>TATASTEEL</t>
  </si>
  <si>
    <t>Tata Steel</t>
  </si>
  <si>
    <t>2026-01-14</t>
  </si>
  <si>
    <t>✅ Booked @ T1 +8.1%</t>
  </si>
  <si>
    <t>EU turnaround</t>
  </si>
  <si>
    <t>13 Feb 2026</t>
  </si>
  <si>
    <t>DMART</t>
  </si>
  <si>
    <t>✅ Booked @ T2 +11.8%</t>
  </si>
  <si>
    <t>Retail</t>
  </si>
  <si>
    <t>Volume recovery</t>
  </si>
  <si>
    <t>28 Feb 2026</t>
  </si>
  <si>
    <t>BAJAJ-AUTO</t>
  </si>
  <si>
    <t>Bajaj Auto</t>
  </si>
  <si>
    <t>✅ Booked @ T2 +9.4%</t>
  </si>
  <si>
    <t>Strong volumes</t>
  </si>
  <si>
    <t>ICICIAMC</t>
  </si>
  <si>
    <t>ICICI Prud. AMC</t>
  </si>
  <si>
    <t>2026-01-16</t>
  </si>
  <si>
    <t>✅ Booked @ T3 +33.3%</t>
  </si>
  <si>
    <t>AMC</t>
  </si>
  <si>
    <t>Equity inflows</t>
  </si>
  <si>
    <t>17 Mar 2026</t>
  </si>
  <si>
    <t>POLYCAB</t>
  </si>
  <si>
    <t>Polycab India</t>
  </si>
  <si>
    <t>✅ Booked @ T3 +6.2%</t>
  </si>
  <si>
    <t>Wiring demand</t>
  </si>
  <si>
    <t>IFCI</t>
  </si>
  <si>
    <t xml:space="preserve">IFCI </t>
  </si>
  <si>
    <t>✅ Booked @ T2 +28.8%</t>
  </si>
  <si>
    <t>PSU NBFC recovery</t>
  </si>
  <si>
    <t>02 Mar 2026</t>
  </si>
  <si>
    <t>CORONA</t>
  </si>
  <si>
    <t>✅ Booked @ T3 +22.6%</t>
  </si>
  <si>
    <t>Domestic demand</t>
  </si>
  <si>
    <t>UNIONBANK</t>
  </si>
  <si>
    <t>UNION BANK</t>
  </si>
  <si>
    <t>✅ Booked @ T3 +29.0%</t>
  </si>
  <si>
    <t>PSU bank rally</t>
  </si>
  <si>
    <t>DALBHARAT</t>
  </si>
  <si>
    <t>DALMIA BHARAT</t>
  </si>
  <si>
    <t>⚠️ SL Exit -6.3%</t>
  </si>
  <si>
    <t>Cement</t>
  </si>
  <si>
    <t>Infra cycle play</t>
  </si>
  <si>
    <t>31 Jan 2026</t>
  </si>
  <si>
    <t>APOLLOTYRE</t>
  </si>
  <si>
    <t>APOLLO TYRES</t>
  </si>
  <si>
    <t>BIOCON</t>
  </si>
  <si>
    <t>Biosimilar ramp</t>
  </si>
  <si>
    <t>INDHOTEL</t>
  </si>
  <si>
    <t>INDIAN HOTELS</t>
  </si>
  <si>
    <t>Tourism boom</t>
  </si>
  <si>
    <t>2026-01-20</t>
  </si>
  <si>
    <t>✅ Booked @ T1 +3.4%</t>
  </si>
  <si>
    <t>19 Feb 2026</t>
  </si>
  <si>
    <t>2026-01-25</t>
  </si>
  <si>
    <t>✅ Booked @ T3 +17.3%</t>
  </si>
  <si>
    <t>26 Mar 2026</t>
  </si>
  <si>
    <t>ASTRAL</t>
  </si>
  <si>
    <t>Astral Ltd</t>
  </si>
  <si>
    <t>✅ Booked @ T3 +20.6%</t>
  </si>
  <si>
    <t>Pipe demand</t>
  </si>
  <si>
    <t>BANKINDIA</t>
  </si>
  <si>
    <t>Bank of India</t>
  </si>
  <si>
    <t>⚠️ SL Exit -10.7%</t>
  </si>
  <si>
    <t>Loan growth</t>
  </si>
  <si>
    <t>09 Feb 2026</t>
  </si>
  <si>
    <t>COLPAL</t>
  </si>
  <si>
    <t>Colgate-Palmolive</t>
  </si>
  <si>
    <t>Premium mix</t>
  </si>
  <si>
    <t>MAHABANK</t>
  </si>
  <si>
    <t>Maharashtra Bank</t>
  </si>
  <si>
    <t>2026-01-26</t>
  </si>
  <si>
    <t>✅ Booked @ T1 +25.0%</t>
  </si>
  <si>
    <t>NPA reduction</t>
  </si>
  <si>
    <t>25 Feb 2026</t>
  </si>
  <si>
    <t>PRECWIRE</t>
  </si>
  <si>
    <t>Precision Wires</t>
  </si>
  <si>
    <t>2026-01-27</t>
  </si>
  <si>
    <t>✅ Booked @ T3 +49.1%</t>
  </si>
  <si>
    <t>Copper demand</t>
  </si>
  <si>
    <t>28 Mar 2026</t>
  </si>
  <si>
    <t>NTPC</t>
  </si>
  <si>
    <t>2026-01-28</t>
  </si>
  <si>
    <t>✅ Booked @ T3 +9.6%</t>
  </si>
  <si>
    <t>Power</t>
  </si>
  <si>
    <t>Renewables</t>
  </si>
  <si>
    <t>29 Mar 2026</t>
  </si>
  <si>
    <t>FORTIS</t>
  </si>
  <si>
    <t>Fortis Healthcare</t>
  </si>
  <si>
    <t>Hospital exp.</t>
  </si>
  <si>
    <t>IOC</t>
  </si>
  <si>
    <t>Indian Oil Corp</t>
  </si>
  <si>
    <t>2026-01-30</t>
  </si>
  <si>
    <t>Dividend play</t>
  </si>
  <si>
    <t>14 Feb 2026</t>
  </si>
  <si>
    <t>MTARTECH</t>
  </si>
  <si>
    <t>MTAR Technologies</t>
  </si>
  <si>
    <t>2026-02-01</t>
  </si>
  <si>
    <t>✅ Booked @ T3 +165.3%</t>
  </si>
  <si>
    <t>Space orders</t>
  </si>
  <si>
    <t>02 Apr 2026</t>
  </si>
  <si>
    <t>BEL</t>
  </si>
  <si>
    <t>Budget boost</t>
  </si>
  <si>
    <t>CPPLUS</t>
  </si>
  <si>
    <t>Aditya Infotech</t>
  </si>
  <si>
    <t>2026-02-04</t>
  </si>
  <si>
    <t>✅ Booked @ T3 +8.8%</t>
  </si>
  <si>
    <t>Security tech</t>
  </si>
  <si>
    <t>05 Apr 2026</t>
  </si>
  <si>
    <t>LGEINDIA</t>
  </si>
  <si>
    <t>LG Electronics</t>
  </si>
  <si>
    <t>2026-02-07</t>
  </si>
  <si>
    <t>✅ Booked @ T2 +7.2%</t>
  </si>
  <si>
    <t>Premiumisation</t>
  </si>
  <si>
    <t>24 Mar 2026</t>
  </si>
  <si>
    <t>NSDL</t>
  </si>
  <si>
    <t>✅ Booked @ T2 +10.0%</t>
  </si>
  <si>
    <t>Demat growth</t>
  </si>
  <si>
    <t>AMAGI</t>
  </si>
  <si>
    <t>Amagi Media</t>
  </si>
  <si>
    <t>✅ Booked @ T3 +10.4%</t>
  </si>
  <si>
    <t>Streaming rev.</t>
  </si>
  <si>
    <t>08 Apr 2026</t>
  </si>
  <si>
    <t>STLTECH</t>
  </si>
  <si>
    <t>STL Tech</t>
  </si>
  <si>
    <t>2026-02-08</t>
  </si>
  <si>
    <t>✅ Booked @ T3 +78.8%</t>
  </si>
  <si>
    <t>Fibre rollout</t>
  </si>
  <si>
    <t>09 Apr 2026</t>
  </si>
  <si>
    <t>BHARATFORG</t>
  </si>
  <si>
    <t>Bharat Forge</t>
  </si>
  <si>
    <t>✅ Booked @ T1 +16.3%</t>
  </si>
  <si>
    <t>Defence+Auto</t>
  </si>
  <si>
    <t>10 Mar 2026</t>
  </si>
  <si>
    <t>ABSLMF</t>
  </si>
  <si>
    <t>ABSL AMC</t>
  </si>
  <si>
    <t>✅ Booked @ T1 +15.6%</t>
  </si>
  <si>
    <t>Equity AUM</t>
  </si>
  <si>
    <t>BELRISE</t>
  </si>
  <si>
    <t>Belrise Industries</t>
  </si>
  <si>
    <t>✅ Booked @ T3 +21.7%</t>
  </si>
  <si>
    <t>EV suppliers</t>
  </si>
  <si>
    <t>THERMAX</t>
  </si>
  <si>
    <t>Thermax</t>
  </si>
  <si>
    <t>✅ Booked @ T3 +32.6%</t>
  </si>
  <si>
    <t>Order wins</t>
  </si>
  <si>
    <t>GESHIP</t>
  </si>
  <si>
    <t>GE Shipping</t>
  </si>
  <si>
    <t>✅ Booked @ T3 +18.8%</t>
  </si>
  <si>
    <t>Logistics</t>
  </si>
  <si>
    <t>Freight rates</t>
  </si>
  <si>
    <t>⚠️ SL Exit -7.0%</t>
  </si>
  <si>
    <t>GRM expansion</t>
  </si>
  <si>
    <t>23 Feb 2026</t>
  </si>
  <si>
    <t>GLENMARK</t>
  </si>
  <si>
    <t>Glenmark Pharma</t>
  </si>
  <si>
    <t>2026-02-09</t>
  </si>
  <si>
    <t>✅ Booked @ T1 +15.1%</t>
  </si>
  <si>
    <t>EU filing</t>
  </si>
  <si>
    <t>11 Mar 2026</t>
  </si>
  <si>
    <t>SAMMANCAP</t>
  </si>
  <si>
    <t>Samman Capital</t>
  </si>
  <si>
    <t>2026-02-10</t>
  </si>
  <si>
    <t>✅ Booked @ T2 +11.5%</t>
  </si>
  <si>
    <t>Small-cap play</t>
  </si>
  <si>
    <t>27 Mar 2026</t>
  </si>
  <si>
    <t>AJANTPHARM</t>
  </si>
  <si>
    <t>Ajanta Pharma</t>
  </si>
  <si>
    <t>Branded generics</t>
  </si>
  <si>
    <t>ANTELOPUS</t>
  </si>
  <si>
    <t>Antelopus</t>
  </si>
  <si>
    <t>2026-02-12</t>
  </si>
  <si>
    <t>✅ Booked @ T3 +20.7%</t>
  </si>
  <si>
    <t>AI tailwind</t>
  </si>
  <si>
    <t>13 Apr 2026</t>
  </si>
  <si>
    <t>TCS</t>
  </si>
  <si>
    <t>2026-02-16</t>
  </si>
  <si>
    <t>✅ Booked @ T3 +10.3%</t>
  </si>
  <si>
    <t>BFSI ramp-up</t>
  </si>
  <si>
    <t>17 Apr 2026</t>
  </si>
  <si>
    <t>✅ Booked @ T3 +15.8%</t>
  </si>
  <si>
    <t>Volume surge</t>
  </si>
  <si>
    <t>IRFC</t>
  </si>
  <si>
    <t>2026-02-19</t>
  </si>
  <si>
    <t>✅ Booked @ T1 +5.3%</t>
  </si>
  <si>
    <t>Railway capex</t>
  </si>
  <si>
    <t>21 Mar 2026</t>
  </si>
  <si>
    <t>IREDA</t>
  </si>
  <si>
    <t>2026-02-20</t>
  </si>
  <si>
    <t>✅ Booked @ T1 +30.0%</t>
  </si>
  <si>
    <t>Green energy</t>
  </si>
  <si>
    <t>22 Mar 2026</t>
  </si>
  <si>
    <t>JINDALSTEEL</t>
  </si>
  <si>
    <t>Jindal Steel (B2)</t>
  </si>
  <si>
    <t>2026-02-23</t>
  </si>
  <si>
    <t>✅ Booked @ T3 +15.2%</t>
  </si>
  <si>
    <t>24 Apr 2026</t>
  </si>
  <si>
    <t>OBEROIRLTY</t>
  </si>
  <si>
    <t>Oberoi Realty</t>
  </si>
  <si>
    <t>✅ Booked @ T3 +17.2%</t>
  </si>
  <si>
    <t>Realty</t>
  </si>
  <si>
    <t>Luxury demand</t>
  </si>
  <si>
    <t>RENUKA</t>
  </si>
  <si>
    <t>Renuka Sugars</t>
  </si>
  <si>
    <t>✅ Booked @ T3 +73.9%</t>
  </si>
  <si>
    <t>Sugar exports</t>
  </si>
  <si>
    <t>HCLTECH</t>
  </si>
  <si>
    <t>HCL Technologies</t>
  </si>
  <si>
    <t>2026-02-27</t>
  </si>
  <si>
    <t>✅ Booked @ T1 +5.1%</t>
  </si>
  <si>
    <t>Deal ramp-up</t>
  </si>
  <si>
    <t>OLA</t>
  </si>
  <si>
    <t>Ola Electric</t>
  </si>
  <si>
    <t>✅ Booked @ T3 +21.2%</t>
  </si>
  <si>
    <t>EV push</t>
  </si>
  <si>
    <t>28 Apr 2026</t>
  </si>
  <si>
    <t>JARO</t>
  </si>
  <si>
    <t>JARO Education</t>
  </si>
  <si>
    <t>2026-03-01</t>
  </si>
  <si>
    <t>✅ Booked @ T1 +33.3%</t>
  </si>
  <si>
    <t>Education</t>
  </si>
  <si>
    <t>Ed-tech growth</t>
  </si>
  <si>
    <t>31 Mar 2026</t>
  </si>
  <si>
    <t>COCHINSHIP</t>
  </si>
  <si>
    <t>Cochin Shipyard</t>
  </si>
  <si>
    <t>2026-03-02</t>
  </si>
  <si>
    <t>✅ Booked @ T2 +37.5%</t>
  </si>
  <si>
    <t>Order book</t>
  </si>
  <si>
    <t>16 Apr 2026</t>
  </si>
  <si>
    <t>Jindal Steel</t>
  </si>
  <si>
    <t>Capex restart</t>
  </si>
  <si>
    <t>01 Apr 2026</t>
  </si>
  <si>
    <t>CHAMBLFERT</t>
  </si>
  <si>
    <t>Chambal Fertilisers</t>
  </si>
  <si>
    <t>Sector tailwind</t>
  </si>
  <si>
    <t>PRAJIND</t>
  </si>
  <si>
    <t>Praj Industries</t>
  </si>
  <si>
    <t>2026-03-05</t>
  </si>
  <si>
    <t>Crude recovery</t>
  </si>
  <si>
    <t>04 Apr 2026</t>
  </si>
  <si>
    <t>ANGELONE</t>
  </si>
  <si>
    <t>Angel One</t>
  </si>
  <si>
    <t>2026-03-06</t>
  </si>
  <si>
    <t>✅ Booked @ T2 +30.0%</t>
  </si>
  <si>
    <t>Broking</t>
  </si>
  <si>
    <t>Weak guidance</t>
  </si>
  <si>
    <t>20 Apr 2026</t>
  </si>
  <si>
    <t>NATCOPHARM</t>
  </si>
  <si>
    <t>Natco Pharma</t>
  </si>
  <si>
    <t>2026-03-08</t>
  </si>
  <si>
    <t>Quick commerce</t>
  </si>
  <si>
    <t>07 Apr 2026</t>
  </si>
  <si>
    <t>EMBDL</t>
  </si>
  <si>
    <t>Capex tailwind</t>
  </si>
  <si>
    <t>NMDC</t>
  </si>
  <si>
    <t>NMDC Ltd</t>
  </si>
  <si>
    <t>2026-03-09</t>
  </si>
  <si>
    <t>✅ Booked @ T2 +8.4%</t>
  </si>
  <si>
    <t>Iron ore demand</t>
  </si>
  <si>
    <t>23 Apr 2026</t>
  </si>
  <si>
    <t>✅ Booked @ T1 +13.9%</t>
  </si>
  <si>
    <t>Iron ore vol.</t>
  </si>
  <si>
    <t>DELHIVERY</t>
  </si>
  <si>
    <t>Delhivery</t>
  </si>
  <si>
    <t>2026-03-10</t>
  </si>
  <si>
    <t>✅ Booked @ T1 +11.1%</t>
  </si>
  <si>
    <t>Unit economics</t>
  </si>
  <si>
    <t>RECLTD</t>
  </si>
  <si>
    <t>REC Limited</t>
  </si>
  <si>
    <t>2026-03-11</t>
  </si>
  <si>
    <t>Power lending</t>
  </si>
  <si>
    <t>10 Apr 2026</t>
  </si>
  <si>
    <t>CUMMINSIND</t>
  </si>
  <si>
    <t>Cummins India</t>
  </si>
  <si>
    <t>✅ Booked @ T1 +14.6%</t>
  </si>
  <si>
    <t>Export orders</t>
  </si>
  <si>
    <t>TRENT</t>
  </si>
  <si>
    <t>Trent</t>
  </si>
  <si>
    <t>Store expansion</t>
  </si>
  <si>
    <t>SONACOMS</t>
  </si>
  <si>
    <t>Sona BLW Precision</t>
  </si>
  <si>
    <t>✅ Booked @ T2 +13.2%</t>
  </si>
  <si>
    <t>EV components</t>
  </si>
  <si>
    <t>25 Apr 2026</t>
  </si>
  <si>
    <t>DATAPATTNS</t>
  </si>
  <si>
    <t>Data Patterns</t>
  </si>
  <si>
    <t>2026-03-18</t>
  </si>
  <si>
    <t>✅ Booked @ T1 +17.6%</t>
  </si>
  <si>
    <t>DRDO orders</t>
  </si>
  <si>
    <t>LAURUSLABS</t>
  </si>
  <si>
    <t>Laurus Labs</t>
  </si>
  <si>
    <t>2026-03-20</t>
  </si>
  <si>
    <t>CDMO ramp-up</t>
  </si>
  <si>
    <t>CHENNPETRO</t>
  </si>
  <si>
    <t>Chennai Petro</t>
  </si>
  <si>
    <t>2026-03-21</t>
  </si>
  <si>
    <t>✅ Booked @ T1 +20.0%</t>
  </si>
  <si>
    <t>APOLLOMICR</t>
  </si>
  <si>
    <t>Apollo Micro Systems</t>
  </si>
  <si>
    <t>2026-03-22</t>
  </si>
  <si>
    <t>✅ Booked @ T1 +15.8%</t>
  </si>
  <si>
    <t>Defence exports</t>
  </si>
  <si>
    <t>21 Apr 2026</t>
  </si>
  <si>
    <t>UTIAMC</t>
  </si>
  <si>
    <t>UTI AMC</t>
  </si>
  <si>
    <t>SIP growth</t>
  </si>
  <si>
    <t>BIRLACABLE</t>
  </si>
  <si>
    <t>Birla Cable</t>
  </si>
  <si>
    <t>2026-03-23</t>
  </si>
  <si>
    <t>Infra build-out</t>
  </si>
  <si>
    <t>MEESHO</t>
  </si>
  <si>
    <t>Meesho</t>
  </si>
  <si>
    <t>2026-03-24</t>
  </si>
  <si>
    <t>08 May 2026</t>
  </si>
  <si>
    <t>2026-03-27</t>
  </si>
  <si>
    <t>✅ Booked @ T1 +10.3%</t>
  </si>
  <si>
    <t>Strong AUM</t>
  </si>
  <si>
    <t>26 Apr 2026</t>
  </si>
  <si>
    <t>JPPOWER</t>
  </si>
  <si>
    <t>JP Power</t>
  </si>
  <si>
    <t>2026-04-01</t>
  </si>
  <si>
    <t>✅ Booked @ T3 +114.3%</t>
  </si>
  <si>
    <t>PSU re-rating</t>
  </si>
  <si>
    <t>31 May 2026</t>
  </si>
  <si>
    <t>ADANIENSOL</t>
  </si>
  <si>
    <t>Adani Energy Solution</t>
  </si>
  <si>
    <t>Capex cycle</t>
  </si>
  <si>
    <t>← Enter ticker</t>
  </si>
  <si>
    <t>📊  PERFORMANCE DASHBOARD</t>
  </si>
  <si>
    <t>All metrics auto-calculate from Trade Tracker · WIN/LOSS results permanently locked</t>
  </si>
  <si>
    <t>Total Recs</t>
  </si>
  <si>
    <t>Wins 🏆</t>
  </si>
  <si>
    <t>Losses ❌</t>
  </si>
  <si>
    <t>Open Trades</t>
  </si>
  <si>
    <t>Win Rate</t>
  </si>
  <si>
    <t>Avg Win %</t>
  </si>
  <si>
    <t>Best Call</t>
  </si>
  <si>
    <t>T3 Hit Rate</t>
  </si>
  <si>
    <t>Final Portfolio</t>
  </si>
  <si>
    <t>vs Nifty</t>
  </si>
  <si>
    <t>₹2,565,184</t>
  </si>
  <si>
    <t>+156.5% vs -4.2%</t>
  </si>
  <si>
    <t>🏆  TOP 10 PERFORMERS  (by locked return %)</t>
  </si>
  <si>
    <t>🏭  SECTOR WIN RATES</t>
  </si>
  <si>
    <t>Rank</t>
  </si>
  <si>
    <t>Symbol</t>
  </si>
  <si>
    <t>Target</t>
  </si>
  <si>
    <t>Return %</t>
  </si>
  <si>
    <t>Recs</t>
  </si>
  <si>
    <t>🔻  WORST 5 LOSSES  (SL exits only)</t>
  </si>
  <si>
    <t>Exit</t>
  </si>
  <si>
    <t>Loss %</t>
  </si>
  <si>
    <t>💰  PORTFOLIO SIMULATOR  —  ₹10L invested, 5% max per trade (dynamically adjusts)</t>
  </si>
  <si>
    <t>Initial</t>
  </si>
  <si>
    <t>Final Value</t>
  </si>
  <si>
    <t>Our Return</t>
  </si>
  <si>
    <t>Nifty Same Period</t>
  </si>
  <si>
    <t>Extra vs Nifty</t>
  </si>
  <si>
    <t>+156.5%</t>
  </si>
  <si>
    <t>-4.2%</t>
  </si>
  <si>
    <t>77.1%</t>
  </si>
  <si>
    <t>Date</t>
  </si>
  <si>
    <t>Trade %</t>
  </si>
  <si>
    <t>Invested ₹</t>
  </si>
  <si>
    <t>P&amp;L ₹</t>
  </si>
  <si>
    <t>Portfolio Value</t>
  </si>
  <si>
    <t>Running Return</t>
  </si>
  <si>
    <t>2024-10-01</t>
  </si>
  <si>
    <t>2024-10-20</t>
  </si>
  <si>
    <t>2024-11-03</t>
  </si>
  <si>
    <t>2024-11-29</t>
  </si>
  <si>
    <t>2025-11-13</t>
  </si>
  <si>
    <t>2025-11-23</t>
  </si>
  <si>
    <t>2025-11-29</t>
  </si>
  <si>
    <t>2025-12-03</t>
  </si>
  <si>
    <t>2025-12-04</t>
  </si>
  <si>
    <t>2025-12-11</t>
  </si>
  <si>
    <t>2025-12-12</t>
  </si>
  <si>
    <t>2025-12-13</t>
  </si>
  <si>
    <t>2025-12-22</t>
  </si>
  <si>
    <t>2025-12-25</t>
  </si>
  <si>
    <t>2025-12-26</t>
  </si>
  <si>
    <t>2025-12-27</t>
  </si>
  <si>
    <t>2025-12-31</t>
  </si>
  <si>
    <t>2026-01-10</t>
  </si>
  <si>
    <t>2026-01-13</t>
  </si>
  <si>
    <t>2026-01-17</t>
  </si>
  <si>
    <t>2026-01-21</t>
  </si>
  <si>
    <t>2026-01-22</t>
  </si>
  <si>
    <t>2026-01-23</t>
  </si>
  <si>
    <t>2026-01-31</t>
  </si>
  <si>
    <t>2026-02-13</t>
  </si>
  <si>
    <t>2026-02-14</t>
  </si>
  <si>
    <t>2026-02-25</t>
  </si>
  <si>
    <t>2026-02-28</t>
  </si>
  <si>
    <t>2026-03-03</t>
  </si>
  <si>
    <t>2026-03-07</t>
  </si>
  <si>
    <t>2026-03-17</t>
  </si>
  <si>
    <t>2026-03-26</t>
  </si>
  <si>
    <t>2026-03-28</t>
  </si>
  <si>
    <t>2026-03-29</t>
  </si>
  <si>
    <t>2026-03-31</t>
  </si>
  <si>
    <t>2026-04-02</t>
  </si>
  <si>
    <t>2026-04-04</t>
  </si>
  <si>
    <t>2026-04-05</t>
  </si>
  <si>
    <t>2026-04-07</t>
  </si>
  <si>
    <t>2026-04-08</t>
  </si>
  <si>
    <t>2026-04-09</t>
  </si>
  <si>
    <t>2026-04-10</t>
  </si>
  <si>
    <t>2026-04-13</t>
  </si>
  <si>
    <t>2026-04-16</t>
  </si>
  <si>
    <t>2026-04-17</t>
  </si>
  <si>
    <t>2026-04-20</t>
  </si>
  <si>
    <t>2026-04-21</t>
  </si>
  <si>
    <t>2026-04-23</t>
  </si>
  <si>
    <t>2026-04-24</t>
  </si>
  <si>
    <t>2026-04-25</t>
  </si>
  <si>
    <t>2026-04-26</t>
  </si>
  <si>
    <t>2026-04-28</t>
  </si>
  <si>
    <t>2026-05-08</t>
  </si>
  <si>
    <t>2026-05-31</t>
  </si>
  <si>
    <t>Month</t>
  </si>
  <si>
    <t>Our Portfolio</t>
  </si>
  <si>
    <t>Nifty 50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</si>
  <si>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</si>
  <si>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</si>
  <si>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</si>
  <si>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</si>
  <si>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</si>
  <si>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</si>
  <si>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</si>
  <si>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</si>
  <si>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</si>
  <si>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</si>
  <si>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</si>
  <si>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</si>
  <si>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</si>
  <si>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</si>
  <si>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</si>
  <si>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</si>
  <si>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2026-01</t>
  </si>
  <si>
    <t>2026-02</t>
  </si>
  <si>
    <t>2026-03</t>
  </si>
  <si>
    <t>2026-04</t>
  </si>
  <si>
    <t>2026-05</t>
  </si>
  <si>
    <t>🔔  LIVE ALERT BOARD  —  Open Trades Only (Live CMP via GOOGLEFINANCE)</t>
  </si>
  <si>
    <t>Only active open trades shown here · WIN/LOSS results are in Trade Tracker · Prices auto-refresh every 15 min</t>
  </si>
  <si>
    <t>🟡  24 OPEN TRADES  —  Actively monitoring</t>
  </si>
  <si>
    <t>Entry ₹</t>
  </si>
  <si>
    <t>SL ₹</t>
  </si>
  <si>
    <t>🏭  SECTOR ANALYSIS  —  Locked performance by sector</t>
  </si>
  <si>
    <t>Total</t>
  </si>
  <si>
    <t>Wins</t>
  </si>
  <si>
    <t>Losses</t>
  </si>
  <si>
    <t>Avg Loss %</t>
  </si>
  <si>
    <t>Best Trade</t>
  </si>
  <si>
    <t>TOTAL</t>
  </si>
  <si>
    <t>Start: ₹10,00,000  |  Final: ₹25,65,184  |  Return: +156.5%  |  Nifty return same period: -4.2%  |  Outperformance: ₹16,07,672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</si>
</sst>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₹&quot;\ #,##0;[Red]&quot;₹&quot;\ \-#,##0"/>
    <numFmt numFmtId="164" formatCode="0.0%"/>
  </numFmts>
  <fonts count="42" x14ac:knownFonts="1">
    <font>
      <sz val="11"/>
      <color theme="1"/>
      <name val="Calibri"/>
      <family val="2"/>
      <charset val="1"/>
    </font>
    <font>
      <b/>
      <sz val="14"/>
      <color rgb="FFFFFFFF"/>
      <name val="Calibri"/>
      <charset val="1"/>
    </font>
    <font>
      <i/>
      <sz val="8"/>
      <color rgb="FF6C757D"/>
      <name val="Calibri"/>
      <charset val="1"/>
    </font>
    <font>
      <b/>
      <sz val="8"/>
      <color rgb="FFFFFFFF"/>
      <name val="Calibri"/>
      <charset val="1"/>
    </font>
    <font>
      <b/>
      <sz val="8"/>
      <color rgb="FF1A2F5A"/>
      <name val="Calibri"/>
      <charset val="1"/>
    </font>
    <font>
      <b/>
      <sz val="9"/>
      <color rgb="FF1A2F5A"/>
      <name val="Calibri"/>
      <charset val="1"/>
    </font>
    <font>
      <sz val="9"/>
      <color rgb="FF212529"/>
      <name val="Calibri"/>
      <charset val="1"/>
    </font>
    <font>
      <sz val="8"/>
      <color rgb="FF6C757D"/>
      <name val="Calibri"/>
      <charset val="1"/>
    </font>
    <font>
      <b/>
      <sz val="10"/>
      <color rgb="FF1A2F5A"/>
      <name val="Calibri"/>
      <charset val="1"/>
    </font>
    <font>
      <b/>
      <sz val="9"/>
      <color rgb="FF1A6B3C"/>
      <name val="Calibri"/>
      <charset val="1"/>
    </font>
    <font>
      <sz val="9"/>
      <color rgb="FF1A6B3C"/>
      <name val="Calibri"/>
      <charset val="1"/>
    </font>
    <font>
      <b/>
      <sz val="9"/>
      <color rgb="FFC0392B"/>
      <name val="Calibri"/>
      <charset val="1"/>
    </font>
    <font>
      <b/>
      <sz val="8"/>
      <color rgb="FFC0392B"/>
      <name val="Calibri"/>
      <charset val="1"/>
    </font>
    <font>
      <b/>
      <sz val="10"/>
      <color rgb="FFC0392B"/>
      <name val="Calibri"/>
      <charset val="1"/>
    </font>
    <font>
      <sz val="8"/>
      <color rgb="FFC0392B"/>
      <name val="Calibri"/>
      <charset val="1"/>
    </font>
    <font>
      <b/>
      <sz val="8"/>
      <color rgb="FF1A6B3C"/>
      <name val="Calibri"/>
      <charset val="1"/>
    </font>
    <font>
      <b/>
      <sz val="10"/>
      <color rgb="FF1A6B3C"/>
      <name val="Calibri"/>
      <charset val="1"/>
    </font>
    <font>
      <sz val="8"/>
      <color rgb="FF1A6B3C"/>
      <name val="Calibri"/>
      <charset val="1"/>
    </font>
    <font>
      <sz val="9"/>
      <color rgb="FF6C757D"/>
      <name val="Calibri"/>
      <charset val="1"/>
    </font>
    <font>
      <sz val="8"/>
      <color rgb="FF212529"/>
      <name val="Calibri"/>
      <charset val="1"/>
    </font>
    <font>
      <sz val="8"/>
      <color rgb="FF0B6E8A"/>
      <name val="Calibri"/>
      <charset val="1"/>
    </font>
    <font>
      <b/>
      <sz val="10"/>
      <color rgb="FF0B6E8A"/>
      <name val="Calibri"/>
      <charset val="1"/>
    </font>
    <font>
      <b/>
      <sz val="10"/>
      <color rgb="FF212529"/>
      <name val="Calibri"/>
      <charset val="1"/>
    </font>
    <font>
      <b/>
      <sz val="9"/>
      <color rgb="FF212529"/>
      <name val="Calibri"/>
      <charset val="1"/>
    </font>
    <font>
      <b/>
      <sz val="18"/>
      <color rgb="FF1A2F5A"/>
      <name val="Calibri"/>
      <charset val="1"/>
    </font>
    <font>
      <b/>
      <sz val="18"/>
      <color rgb="FF1A6B3C"/>
      <name val="Calibri"/>
      <charset val="1"/>
    </font>
    <font>
      <b/>
      <sz val="18"/>
      <color rgb="FFC0392B"/>
      <name val="Calibri"/>
      <charset val="1"/>
    </font>
    <font>
      <b/>
      <sz val="18"/>
      <color rgb="FF0B6E8A"/>
      <name val="Calibri"/>
      <charset val="1"/>
    </font>
    <font>
      <b/>
      <sz val="18"/>
      <color rgb="FFB8960C"/>
      <name val="Calibri"/>
      <charset val="1"/>
    </font>
    <font>
      <b/>
      <sz val="14"/>
      <color rgb="FF1A6B3C"/>
      <name val="Calibri"/>
      <charset val="1"/>
    </font>
    <font>
      <b/>
      <sz val="14"/>
      <color rgb="FFB8960C"/>
      <name val="Calibri"/>
      <charset val="1"/>
    </font>
    <font>
      <b/>
      <sz val="11"/>
      <color rgb="FFFFFFFF"/>
      <name val="Calibri"/>
      <charset val="1"/>
    </font>
    <font>
      <b/>
      <sz val="10"/>
      <color rgb="FFFFFFFF"/>
      <name val="Calibri"/>
      <charset val="1"/>
    </font>
    <font>
      <b/>
      <sz val="9"/>
      <color rgb="FFB8960C"/>
      <name val="Calibri"/>
      <charset val="1"/>
    </font>
    <font>
      <b/>
      <sz val="13"/>
      <color rgb="FFFFFFFF"/>
      <name val="Calibri"/>
      <charset val="1"/>
    </font>
    <font>
      <b/>
      <sz val="16"/>
      <color rgb="FF1A2F5A"/>
      <name val="Calibri"/>
      <charset val="1"/>
    </font>
    <font>
      <b/>
      <sz val="16"/>
      <color rgb="FF1A6B3C"/>
      <name val="Calibri"/>
      <charset val="1"/>
    </font>
    <font>
      <b/>
      <sz val="16"/>
      <color rgb="FFC0392B"/>
      <name val="Calibri"/>
      <charset val="1"/>
    </font>
    <font>
      <b/>
      <sz val="16"/>
      <color rgb="FFB8960C"/>
      <name val="Calibri"/>
      <charset val="1"/>
    </font>
    <font>
      <b/>
      <sz val="9"/>
      <color rgb="FFFFFFFF"/>
      <name val="Calibri"/>
      <charset val="1"/>
    </font>
    <font>
      <sz val="9"/>
      <color rgb="FF0B6E8A"/>
      <name val="Calibri"/>
      <charset val="1"/>
    </font>
    <font>
      <sz val="9"/>
      <color rgb="FFC0392B"/>
      <name val="Calibri"/>
      <charset val="1"/>
    </font>
  </fonts>
  <fills count="13">
    <fill>
      <patternFill patternType="none"/>
    </fill>
    <fill>
      <patternFill patternType="gray125"/>
    </fill>
    <fill>
      <patternFill patternType="solid">
        <fgColor rgb="FF1A2F5A"/>
        <bgColor rgb="FF212529"/>
      </patternFill>
    </fill>
    <fill>
      <patternFill patternType="solid">
        <fgColor rgb="FFF8F9FA"/>
        <bgColor rgb="FFFFFFFF"/>
      </patternFill>
    </fill>
    <fill>
      <patternFill patternType="solid">
        <fgColor rgb="FFB8960C"/>
        <bgColor rgb="FFC9A84C"/>
      </patternFill>
    </fill>
    <fill>
      <patternFill patternType="solid">
        <fgColor rgb="FFFFFFFF"/>
        <bgColor rgb="FFF8F9FA"/>
      </patternFill>
    </fill>
    <fill>
      <patternFill patternType="solid">
        <fgColor rgb="FFFEFAE8"/>
        <bgColor rgb="FFF8F9FA"/>
      </patternFill>
    </fill>
    <fill>
      <patternFill patternType="solid">
        <fgColor rgb="FFFDECEA"/>
        <bgColor rgb="FFFEFAE8"/>
      </patternFill>
    </fill>
    <fill>
      <patternFill patternType="solid">
        <fgColor rgb="FFE8F5EE"/>
        <bgColor rgb="FFEDF7F1"/>
      </patternFill>
    </fill>
    <fill>
      <patternFill patternType="solid">
        <fgColor rgb="FFE5F4F8"/>
        <bgColor rgb="FFE8F5EE"/>
      </patternFill>
    </fill>
    <fill>
      <patternFill patternType="solid">
        <fgColor rgb="FF1A6B3C"/>
        <bgColor rgb="FF0B6E8A"/>
      </patternFill>
    </fill>
    <fill>
      <patternFill patternType="solid">
        <fgColor rgb="FF0B6E8A"/>
        <bgColor rgb="FF008080"/>
      </patternFill>
    </fill>
    <fill>
      <patternFill patternType="solid">
        <fgColor rgb="FFC0392B"/>
        <bgColor rgb="FF993366"/>
      </patternFill>
    </fill>
  </fills>
  <borders count="3">
    <border>
      <left/>
      <right/>
      <top/>
      <bottom/>
      <diagonal/>
    </border>
    <border>
      <left style="thin">
        <color rgb="FFDEE2E6"/>
      </left>
      <right style="thin">
        <color rgb="FFDEE2E6"/>
      </right>
      <top style="thin">
        <color rgb="FFDEE2E6"/>
      </top>
      <bottom style="thin">
        <color rgb="FFDEE2E6"/>
      </bottom>
      <diagonal/>
    </border>
    <border>
      <left style="thin">
        <color rgb="FFDEE2E6"/>
      </left>
      <right/>
      <top style="thin">
        <color rgb="FFDEE2E6"/>
      </top>
      <bottom style="thin">
        <color rgb="FFDEE2E6"/>
      </bottom>
      <diagonal/>
    </border>
  </borders>
  <cellStyleXfs count="1">
    <xf numFmtId="0" fontId="0" fillId="0" borderId="0"/>
  </cellStyleXfs>
  <cellXfs count="145">
    <xf numFmtId="0" fontId="0" fillId="0" borderId="0" xfId="0"/>
    <xf numFmtId="0" fontId="31" fillId="11" borderId="2" xfId="0" applyFont="1" applyFill="1" applyBorder="1" applyAlignment="1">
      <alignment horizontal="center" vertical="center"/>
    </xf>
    <xf numFmtId="0" fontId="34" fillId="2" borderId="0" xfId="0" applyFont="1" applyFill="1" applyAlignment="1">
      <alignment horizontal="center" vertical="center"/>
    </xf>
    <xf numFmtId="0" fontId="31" fillId="12" borderId="2" xfId="0" applyFont="1" applyFill="1" applyBorder="1" applyAlignment="1">
      <alignment horizontal="center" vertical="center"/>
    </xf>
    <xf numFmtId="0" fontId="32" fillId="11" borderId="2" xfId="0" applyFont="1" applyFill="1" applyBorder="1" applyAlignment="1">
      <alignment horizontal="center" vertical="center"/>
    </xf>
    <xf numFmtId="0" fontId="31" fillId="10" borderId="2" xfId="0" applyFont="1" applyFill="1" applyBorder="1" applyAlignment="1">
      <alignment horizontal="center" vertical="center"/>
    </xf>
    <xf numFmtId="0" fontId="0" fillId="2" borderId="0" xfId="0" applyFill="1"/>
    <xf numFmtId="0" fontId="2" fillId="3" borderId="0" xfId="0" applyFont="1" applyFill="1" applyAlignment="1">
      <alignment horizontal="left" vertical="center"/>
    </xf>
    <xf numFmtId="0" fontId="1" fillId="2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left" vertical="center"/>
    </xf>
    <xf numFmtId="0" fontId="6" fillId="5" borderId="1" xfId="0" applyFont="1" applyFill="1" applyBorder="1" applyAlignment="1">
      <alignment horizontal="left" vertical="center"/>
    </xf>
    <xf numFmtId="0" fontId="7" fillId="5" borderId="1" xfId="0" applyFont="1" applyFill="1" applyBorder="1" applyAlignment="1">
      <alignment horizontal="center" vertical="center"/>
    </xf>
    <xf numFmtId="4" fontId="6" fillId="5" borderId="1" xfId="0" applyNumberFormat="1" applyFont="1" applyFill="1" applyBorder="1" applyAlignment="1">
      <alignment horizontal="center" vertical="center"/>
    </xf>
    <xf numFmtId="4" fontId="8" fillId="6" borderId="1" xfId="0" applyNumberFormat="1" applyFont="1" applyFill="1" applyBorder="1" applyAlignment="1">
      <alignment horizontal="center" vertical="center"/>
    </xf>
    <xf numFmtId="4" fontId="9" fillId="5" borderId="1" xfId="0" applyNumberFormat="1" applyFont="1" applyFill="1" applyBorder="1" applyAlignment="1">
      <alignment horizontal="center" vertical="center"/>
    </xf>
    <xf numFmtId="4" fontId="10" fillId="5" borderId="1" xfId="0" applyNumberFormat="1" applyFont="1" applyFill="1" applyBorder="1" applyAlignment="1">
      <alignment horizontal="center" vertical="center"/>
    </xf>
    <xf numFmtId="4" fontId="11" fillId="5" borderId="1" xfId="0" applyNumberFormat="1" applyFont="1" applyFill="1" applyBorder="1" applyAlignment="1">
      <alignment horizontal="center" vertical="center"/>
    </xf>
    <xf numFmtId="0" fontId="12" fillId="5" borderId="1" xfId="0" applyFont="1" applyFill="1" applyBorder="1" applyAlignment="1">
      <alignment horizontal="center" vertical="center"/>
    </xf>
    <xf numFmtId="0" fontId="13" fillId="7" borderId="1" xfId="0" applyFont="1" applyFill="1" applyBorder="1" applyAlignment="1">
      <alignment horizontal="center" vertical="center"/>
    </xf>
    <xf numFmtId="164" fontId="13" fillId="5" borderId="1" xfId="0" applyNumberFormat="1" applyFont="1" applyFill="1" applyBorder="1" applyAlignment="1">
      <alignment horizontal="center" vertical="center"/>
    </xf>
    <xf numFmtId="0" fontId="11" fillId="5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left" vertical="center"/>
    </xf>
    <xf numFmtId="0" fontId="14" fillId="5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left" vertical="center"/>
    </xf>
    <xf numFmtId="0" fontId="6" fillId="3" borderId="1" xfId="0" applyFont="1" applyFill="1" applyBorder="1" applyAlignment="1">
      <alignment horizontal="left" vertical="center"/>
    </xf>
    <xf numFmtId="0" fontId="7" fillId="3" borderId="1" xfId="0" applyFont="1" applyFill="1" applyBorder="1" applyAlignment="1">
      <alignment horizontal="center" vertical="center"/>
    </xf>
    <xf numFmtId="4" fontId="6" fillId="3" borderId="1" xfId="0" applyNumberFormat="1" applyFont="1" applyFill="1" applyBorder="1" applyAlignment="1">
      <alignment horizontal="center" vertical="center"/>
    </xf>
    <xf numFmtId="4" fontId="9" fillId="3" borderId="1" xfId="0" applyNumberFormat="1" applyFont="1" applyFill="1" applyBorder="1" applyAlignment="1">
      <alignment horizontal="center" vertical="center"/>
    </xf>
    <xf numFmtId="4" fontId="10" fillId="3" borderId="1" xfId="0" applyNumberFormat="1" applyFont="1" applyFill="1" applyBorder="1" applyAlignment="1">
      <alignment horizontal="center" vertical="center"/>
    </xf>
    <xf numFmtId="4" fontId="11" fillId="3" borderId="1" xfId="0" applyNumberFormat="1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/>
    </xf>
    <xf numFmtId="164" fontId="13" fillId="3" borderId="1" xfId="0" applyNumberFormat="1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0" fontId="14" fillId="3" borderId="1" xfId="0" applyFont="1" applyFill="1" applyBorder="1" applyAlignment="1">
      <alignment horizontal="center" vertical="center"/>
    </xf>
    <xf numFmtId="0" fontId="15" fillId="3" borderId="1" xfId="0" applyFont="1" applyFill="1" applyBorder="1" applyAlignment="1">
      <alignment horizontal="center" vertical="center"/>
    </xf>
    <xf numFmtId="0" fontId="16" fillId="8" borderId="1" xfId="0" applyFont="1" applyFill="1" applyBorder="1" applyAlignment="1">
      <alignment horizontal="center" vertical="center"/>
    </xf>
    <xf numFmtId="164" fontId="16" fillId="3" borderId="1" xfId="0" applyNumberFormat="1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0" fontId="17" fillId="3" borderId="1" xfId="0" applyFont="1" applyFill="1" applyBorder="1" applyAlignment="1">
      <alignment horizontal="center" vertical="center"/>
    </xf>
    <xf numFmtId="0" fontId="15" fillId="5" borderId="1" xfId="0" applyFont="1" applyFill="1" applyBorder="1" applyAlignment="1">
      <alignment horizontal="center" vertical="center"/>
    </xf>
    <xf numFmtId="164" fontId="16" fillId="5" borderId="1" xfId="0" applyNumberFormat="1" applyFont="1" applyFill="1" applyBorder="1" applyAlignment="1">
      <alignment horizontal="center" vertical="center"/>
    </xf>
    <xf numFmtId="0" fontId="9" fillId="5" borderId="1" xfId="0" applyFont="1" applyFill="1" applyBorder="1" applyAlignment="1">
      <alignment horizontal="center" vertical="center"/>
    </xf>
    <xf numFmtId="0" fontId="17" fillId="5" borderId="1" xfId="0" applyFont="1" applyFill="1" applyBorder="1" applyAlignment="1">
      <alignment horizontal="center" vertical="center"/>
    </xf>
    <xf numFmtId="49" fontId="18" fillId="5" borderId="1" xfId="0" applyNumberFormat="1" applyFont="1" applyFill="1" applyBorder="1" applyAlignment="1">
      <alignment horizontal="center" vertical="center"/>
    </xf>
    <xf numFmtId="0" fontId="19" fillId="5" borderId="1" xfId="0" applyFont="1" applyFill="1" applyBorder="1" applyAlignment="1">
      <alignment horizontal="center" vertical="center"/>
    </xf>
    <xf numFmtId="0" fontId="20" fillId="5" borderId="1" xfId="0" applyFont="1" applyFill="1" applyBorder="1" applyAlignment="1">
      <alignment horizontal="center" vertical="center"/>
    </xf>
    <xf numFmtId="0" fontId="21" fillId="9" borderId="1" xfId="0" applyFont="1" applyFill="1" applyBorder="1" applyAlignment="1">
      <alignment horizontal="center" vertical="center"/>
    </xf>
    <xf numFmtId="164" fontId="22" fillId="5" borderId="1" xfId="0" applyNumberFormat="1" applyFont="1" applyFill="1" applyBorder="1" applyAlignment="1">
      <alignment horizontal="center" vertical="center"/>
    </xf>
    <xf numFmtId="0" fontId="18" fillId="5" borderId="1" xfId="0" applyFont="1" applyFill="1" applyBorder="1" applyAlignment="1">
      <alignment horizontal="center" vertical="center"/>
    </xf>
    <xf numFmtId="0" fontId="19" fillId="3" borderId="1" xfId="0" applyFont="1" applyFill="1" applyBorder="1" applyAlignment="1">
      <alignment horizontal="center" vertical="center"/>
    </xf>
    <xf numFmtId="0" fontId="20" fillId="3" borderId="1" xfId="0" applyFont="1" applyFill="1" applyBorder="1" applyAlignment="1">
      <alignment horizontal="center" vertical="center"/>
    </xf>
    <xf numFmtId="164" fontId="22" fillId="3" borderId="1" xfId="0" applyNumberFormat="1" applyFont="1" applyFill="1" applyBorder="1" applyAlignment="1">
      <alignment horizontal="center" vertical="center"/>
    </xf>
    <xf numFmtId="0" fontId="18" fillId="3" borderId="1" xfId="0" applyFont="1" applyFill="1" applyBorder="1" applyAlignment="1">
      <alignment horizontal="center" vertical="center"/>
    </xf>
    <xf numFmtId="49" fontId="18" fillId="3" borderId="1" xfId="0" applyNumberFormat="1" applyFont="1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4" fontId="5" fillId="6" borderId="1" xfId="0" applyNumberFormat="1" applyFont="1" applyFill="1" applyBorder="1" applyAlignment="1">
      <alignment horizontal="center" vertical="center"/>
    </xf>
    <xf numFmtId="164" fontId="23" fillId="5" borderId="1" xfId="0" applyNumberFormat="1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164" fontId="23" fillId="3" borderId="1" xfId="0" applyNumberFormat="1" applyFont="1" applyFill="1" applyBorder="1" applyAlignment="1">
      <alignment horizontal="center" vertical="center"/>
    </xf>
    <xf numFmtId="1" fontId="24" fillId="3" borderId="1" xfId="0" applyNumberFormat="1" applyFont="1" applyFill="1" applyBorder="1" applyAlignment="1">
      <alignment horizontal="center" vertical="center"/>
    </xf>
    <xf numFmtId="1" fontId="25" fillId="3" borderId="1" xfId="0" applyNumberFormat="1" applyFont="1" applyFill="1" applyBorder="1" applyAlignment="1">
      <alignment horizontal="center" vertical="center"/>
    </xf>
    <xf numFmtId="1" fontId="26" fillId="3" borderId="1" xfId="0" applyNumberFormat="1" applyFont="1" applyFill="1" applyBorder="1" applyAlignment="1">
      <alignment horizontal="center" vertical="center"/>
    </xf>
    <xf numFmtId="1" fontId="27" fillId="3" borderId="1" xfId="0" applyNumberFormat="1" applyFont="1" applyFill="1" applyBorder="1" applyAlignment="1">
      <alignment horizontal="center" vertical="center"/>
    </xf>
    <xf numFmtId="164" fontId="28" fillId="3" borderId="1" xfId="0" applyNumberFormat="1" applyFont="1" applyFill="1" applyBorder="1" applyAlignment="1">
      <alignment horizontal="center" vertical="center"/>
    </xf>
    <xf numFmtId="164" fontId="25" fillId="3" borderId="1" xfId="0" applyNumberFormat="1" applyFont="1" applyFill="1" applyBorder="1" applyAlignment="1">
      <alignment horizontal="center" vertical="center"/>
    </xf>
    <xf numFmtId="164" fontId="27" fillId="3" borderId="1" xfId="0" applyNumberFormat="1" applyFont="1" applyFill="1" applyBorder="1" applyAlignment="1">
      <alignment horizontal="center" vertical="center"/>
    </xf>
    <xf numFmtId="0" fontId="29" fillId="3" borderId="1" xfId="0" applyFont="1" applyFill="1" applyBorder="1" applyAlignment="1">
      <alignment horizontal="center" vertical="center"/>
    </xf>
    <xf numFmtId="0" fontId="30" fillId="3" borderId="1" xfId="0" applyFont="1" applyFill="1" applyBorder="1" applyAlignment="1">
      <alignment horizontal="center" vertical="center"/>
    </xf>
    <xf numFmtId="0" fontId="5" fillId="8" borderId="1" xfId="0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center" vertical="center"/>
    </xf>
    <xf numFmtId="0" fontId="18" fillId="8" borderId="1" xfId="0" applyFont="1" applyFill="1" applyBorder="1" applyAlignment="1">
      <alignment horizontal="center" vertical="center"/>
    </xf>
    <xf numFmtId="0" fontId="9" fillId="8" borderId="1" xfId="0" applyFont="1" applyFill="1" applyBorder="1" applyAlignment="1">
      <alignment horizontal="center" vertical="center"/>
    </xf>
    <xf numFmtId="164" fontId="9" fillId="8" borderId="1" xfId="0" applyNumberFormat="1" applyFont="1" applyFill="1" applyBorder="1" applyAlignment="1">
      <alignment horizontal="center" vertical="center"/>
    </xf>
    <xf numFmtId="0" fontId="5" fillId="9" borderId="1" xfId="0" applyFont="1" applyFill="1" applyBorder="1" applyAlignment="1">
      <alignment horizontal="left" vertical="center"/>
    </xf>
    <xf numFmtId="0" fontId="6" fillId="9" borderId="1" xfId="0" applyFont="1" applyFill="1" applyBorder="1" applyAlignment="1">
      <alignment horizontal="center" vertical="center"/>
    </xf>
    <xf numFmtId="164" fontId="9" fillId="9" borderId="1" xfId="0" applyNumberFormat="1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164" fontId="9" fillId="5" borderId="1" xfId="0" applyNumberFormat="1" applyFont="1" applyFill="1" applyBorder="1" applyAlignment="1">
      <alignment horizontal="center" vertical="center"/>
    </xf>
    <xf numFmtId="164" fontId="11" fillId="5" borderId="1" xfId="0" applyNumberFormat="1" applyFont="1" applyFill="1" applyBorder="1" applyAlignment="1">
      <alignment horizontal="center" vertical="center"/>
    </xf>
    <xf numFmtId="164" fontId="33" fillId="9" borderId="1" xfId="0" applyNumberFormat="1" applyFont="1" applyFill="1" applyBorder="1" applyAlignment="1">
      <alignment horizontal="center" vertical="center"/>
    </xf>
    <xf numFmtId="164" fontId="11" fillId="9" borderId="1" xfId="0" applyNumberFormat="1" applyFont="1" applyFill="1" applyBorder="1" applyAlignment="1">
      <alignment horizontal="center" vertical="center"/>
    </xf>
    <xf numFmtId="164" fontId="33" fillId="5" borderId="1" xfId="0" applyNumberFormat="1" applyFont="1" applyFill="1" applyBorder="1" applyAlignment="1">
      <alignment horizontal="center" vertical="center"/>
    </xf>
    <xf numFmtId="0" fontId="5" fillId="7" borderId="1" xfId="0" applyFont="1" applyFill="1" applyBorder="1" applyAlignment="1">
      <alignment horizontal="center" vertical="center"/>
    </xf>
    <xf numFmtId="0" fontId="11" fillId="7" borderId="1" xfId="0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/>
    </xf>
    <xf numFmtId="0" fontId="18" fillId="7" borderId="1" xfId="0" applyFont="1" applyFill="1" applyBorder="1" applyAlignment="1">
      <alignment horizontal="center" vertical="center"/>
    </xf>
    <xf numFmtId="164" fontId="11" fillId="7" borderId="1" xfId="0" applyNumberFormat="1" applyFont="1" applyFill="1" applyBorder="1" applyAlignment="1">
      <alignment horizontal="center" vertical="center"/>
    </xf>
    <xf numFmtId="0" fontId="36" fillId="3" borderId="1" xfId="0" applyFont="1" applyFill="1" applyBorder="1" applyAlignment="1">
      <alignment horizontal="center" vertical="center"/>
    </xf>
    <xf numFmtId="0" fontId="37" fillId="3" borderId="1" xfId="0" applyFont="1" applyFill="1" applyBorder="1" applyAlignment="1">
      <alignment horizontal="center" vertical="center"/>
    </xf>
    <xf numFmtId="0" fontId="38" fillId="3" borderId="1" xfId="0" applyFont="1" applyFill="1" applyBorder="1" applyAlignment="1">
      <alignment horizontal="center" vertical="center"/>
    </xf>
    <xf numFmtId="49" fontId="7" fillId="5" borderId="1" xfId="0" applyNumberFormat="1" applyFont="1" applyFill="1" applyBorder="1" applyAlignment="1">
      <alignment horizontal="center" vertical="center"/>
    </xf>
    <xf numFmtId="49" fontId="4" fillId="5" borderId="1" xfId="0" applyNumberFormat="1" applyFont="1" applyFill="1" applyBorder="1" applyAlignment="1">
      <alignment horizontal="center" vertical="center"/>
    </xf>
    <xf numFmtId="164" fontId="12" fillId="5" borderId="1" xfId="0" applyNumberFormat="1" applyFont="1" applyFill="1" applyBorder="1" applyAlignment="1">
      <alignment horizontal="center" vertical="center"/>
    </xf>
    <xf numFmtId="3" fontId="19" fillId="5" borderId="1" xfId="0" applyNumberFormat="1" applyFont="1" applyFill="1" applyBorder="1" applyAlignment="1">
      <alignment horizontal="center" vertical="center"/>
    </xf>
    <xf numFmtId="3" fontId="12" fillId="5" borderId="1" xfId="0" applyNumberFormat="1" applyFont="1" applyFill="1" applyBorder="1" applyAlignment="1">
      <alignment horizontal="center" vertical="center"/>
    </xf>
    <xf numFmtId="3" fontId="15" fillId="5" borderId="1" xfId="0" applyNumberFormat="1" applyFont="1" applyFill="1" applyBorder="1" applyAlignment="1">
      <alignment horizontal="center" vertical="center"/>
    </xf>
    <xf numFmtId="49" fontId="7" fillId="7" borderId="1" xfId="0" applyNumberFormat="1" applyFont="1" applyFill="1" applyBorder="1" applyAlignment="1">
      <alignment horizontal="center" vertical="center"/>
    </xf>
    <xf numFmtId="49" fontId="4" fillId="7" borderId="1" xfId="0" applyNumberFormat="1" applyFont="1" applyFill="1" applyBorder="1" applyAlignment="1">
      <alignment horizontal="center" vertical="center"/>
    </xf>
    <xf numFmtId="164" fontId="12" fillId="7" borderId="1" xfId="0" applyNumberFormat="1" applyFont="1" applyFill="1" applyBorder="1" applyAlignment="1">
      <alignment horizontal="center" vertical="center"/>
    </xf>
    <xf numFmtId="3" fontId="19" fillId="7" borderId="1" xfId="0" applyNumberFormat="1" applyFont="1" applyFill="1" applyBorder="1" applyAlignment="1">
      <alignment horizontal="center" vertical="center"/>
    </xf>
    <xf numFmtId="3" fontId="12" fillId="7" borderId="1" xfId="0" applyNumberFormat="1" applyFont="1" applyFill="1" applyBorder="1" applyAlignment="1">
      <alignment horizontal="center" vertical="center"/>
    </xf>
    <xf numFmtId="3" fontId="15" fillId="7" borderId="1" xfId="0" applyNumberFormat="1" applyFont="1" applyFill="1" applyBorder="1" applyAlignment="1">
      <alignment horizontal="center" vertical="center"/>
    </xf>
    <xf numFmtId="49" fontId="7" fillId="8" borderId="1" xfId="0" applyNumberFormat="1" applyFont="1" applyFill="1" applyBorder="1" applyAlignment="1">
      <alignment horizontal="center" vertical="center"/>
    </xf>
    <xf numFmtId="49" fontId="4" fillId="8" borderId="1" xfId="0" applyNumberFormat="1" applyFont="1" applyFill="1" applyBorder="1" applyAlignment="1">
      <alignment horizontal="center" vertical="center"/>
    </xf>
    <xf numFmtId="164" fontId="15" fillId="8" borderId="1" xfId="0" applyNumberFormat="1" applyFont="1" applyFill="1" applyBorder="1" applyAlignment="1">
      <alignment horizontal="center" vertical="center"/>
    </xf>
    <xf numFmtId="3" fontId="19" fillId="8" borderId="1" xfId="0" applyNumberFormat="1" applyFont="1" applyFill="1" applyBorder="1" applyAlignment="1">
      <alignment horizontal="center" vertical="center"/>
    </xf>
    <xf numFmtId="3" fontId="15" fillId="8" borderId="1" xfId="0" applyNumberFormat="1" applyFont="1" applyFill="1" applyBorder="1" applyAlignment="1">
      <alignment horizontal="center" vertical="center"/>
    </xf>
    <xf numFmtId="164" fontId="12" fillId="8" borderId="1" xfId="0" applyNumberFormat="1" applyFont="1" applyFill="1" applyBorder="1" applyAlignment="1">
      <alignment horizontal="center" vertical="center"/>
    </xf>
    <xf numFmtId="164" fontId="15" fillId="5" borderId="1" xfId="0" applyNumberFormat="1" applyFont="1" applyFill="1" applyBorder="1" applyAlignment="1">
      <alignment horizontal="center" vertical="center"/>
    </xf>
    <xf numFmtId="164" fontId="15" fillId="7" borderId="1" xfId="0" applyNumberFormat="1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10" borderId="0" xfId="0" applyFont="1" applyFill="1" applyAlignment="1">
      <alignment horizontal="center" vertical="center"/>
    </xf>
    <xf numFmtId="0" fontId="3" fillId="12" borderId="0" xfId="0" applyFont="1" applyFill="1" applyAlignment="1">
      <alignment horizontal="center" vertical="center"/>
    </xf>
    <xf numFmtId="0" fontId="5" fillId="9" borderId="1" xfId="0" applyFont="1" applyFill="1" applyBorder="1" applyAlignment="1">
      <alignment horizontal="center" vertical="center"/>
    </xf>
    <xf numFmtId="4" fontId="6" fillId="9" borderId="1" xfId="0" applyNumberFormat="1" applyFont="1" applyFill="1" applyBorder="1" applyAlignment="1">
      <alignment horizontal="center" vertical="center"/>
    </xf>
    <xf numFmtId="4" fontId="10" fillId="9" borderId="1" xfId="0" applyNumberFormat="1" applyFont="1" applyFill="1" applyBorder="1" applyAlignment="1">
      <alignment horizontal="center" vertical="center"/>
    </xf>
    <xf numFmtId="4" fontId="11" fillId="9" borderId="1" xfId="0" applyNumberFormat="1" applyFont="1" applyFill="1" applyBorder="1" applyAlignment="1">
      <alignment horizontal="center" vertical="center"/>
    </xf>
    <xf numFmtId="0" fontId="18" fillId="9" borderId="1" xfId="0" applyFont="1" applyFill="1" applyBorder="1" applyAlignment="1">
      <alignment horizontal="center" vertical="center"/>
    </xf>
    <xf numFmtId="0" fontId="10" fillId="5" borderId="1" xfId="0" applyFont="1" applyFill="1" applyBorder="1" applyAlignment="1">
      <alignment horizontal="center" vertical="center"/>
    </xf>
    <xf numFmtId="0" fontId="39" fillId="2" borderId="1" xfId="0" applyFont="1" applyFill="1" applyBorder="1" applyAlignment="1">
      <alignment horizontal="center" vertical="center" wrapText="1"/>
    </xf>
    <xf numFmtId="49" fontId="5" fillId="9" borderId="1" xfId="0" applyNumberFormat="1" applyFont="1" applyFill="1" applyBorder="1" applyAlignment="1">
      <alignment horizontal="left" vertical="center"/>
    </xf>
    <xf numFmtId="1" fontId="23" fillId="9" borderId="1" xfId="0" applyNumberFormat="1" applyFont="1" applyFill="1" applyBorder="1" applyAlignment="1">
      <alignment horizontal="center" vertical="center"/>
    </xf>
    <xf numFmtId="1" fontId="9" fillId="9" borderId="1" xfId="0" applyNumberFormat="1" applyFont="1" applyFill="1" applyBorder="1" applyAlignment="1">
      <alignment horizontal="center" vertical="center"/>
    </xf>
    <xf numFmtId="1" fontId="11" fillId="9" borderId="1" xfId="0" applyNumberFormat="1" applyFont="1" applyFill="1" applyBorder="1" applyAlignment="1">
      <alignment horizontal="center" vertical="center"/>
    </xf>
    <xf numFmtId="1" fontId="40" fillId="9" borderId="1" xfId="0" applyNumberFormat="1" applyFont="1" applyFill="1" applyBorder="1" applyAlignment="1">
      <alignment horizontal="center" vertical="center"/>
    </xf>
    <xf numFmtId="164" fontId="10" fillId="9" borderId="1" xfId="0" applyNumberFormat="1" applyFont="1" applyFill="1" applyBorder="1" applyAlignment="1">
      <alignment horizontal="center" vertical="center"/>
    </xf>
    <xf numFmtId="164" fontId="41" fillId="9" borderId="1" xfId="0" applyNumberFormat="1" applyFont="1" applyFill="1" applyBorder="1" applyAlignment="1">
      <alignment horizontal="center" vertical="center"/>
    </xf>
    <xf numFmtId="49" fontId="5" fillId="5" borderId="1" xfId="0" applyNumberFormat="1" applyFont="1" applyFill="1" applyBorder="1" applyAlignment="1">
      <alignment horizontal="left" vertical="center"/>
    </xf>
    <xf numFmtId="1" fontId="23" fillId="5" borderId="1" xfId="0" applyNumberFormat="1" applyFont="1" applyFill="1" applyBorder="1" applyAlignment="1">
      <alignment horizontal="center" vertical="center"/>
    </xf>
    <xf numFmtId="1" fontId="9" fillId="5" borderId="1" xfId="0" applyNumberFormat="1" applyFont="1" applyFill="1" applyBorder="1" applyAlignment="1">
      <alignment horizontal="center" vertical="center"/>
    </xf>
    <xf numFmtId="1" fontId="11" fillId="5" borderId="1" xfId="0" applyNumberFormat="1" applyFont="1" applyFill="1" applyBorder="1" applyAlignment="1">
      <alignment horizontal="center" vertical="center"/>
    </xf>
    <xf numFmtId="1" fontId="40" fillId="5" borderId="1" xfId="0" applyNumberFormat="1" applyFont="1" applyFill="1" applyBorder="1" applyAlignment="1">
      <alignment horizontal="center" vertical="center"/>
    </xf>
    <xf numFmtId="164" fontId="10" fillId="5" borderId="1" xfId="0" applyNumberFormat="1" applyFont="1" applyFill="1" applyBorder="1" applyAlignment="1">
      <alignment horizontal="center" vertical="center"/>
    </xf>
    <xf numFmtId="164" fontId="41" fillId="5" borderId="1" xfId="0" applyNumberFormat="1" applyFont="1" applyFill="1" applyBorder="1" applyAlignment="1">
      <alignment horizontal="center" vertical="center"/>
    </xf>
    <xf numFmtId="49" fontId="32" fillId="2" borderId="1" xfId="0" applyNumberFormat="1" applyFont="1" applyFill="1" applyBorder="1" applyAlignment="1">
      <alignment horizontal="left" vertical="center"/>
    </xf>
    <xf numFmtId="1" fontId="32" fillId="2" borderId="1" xfId="0" applyNumberFormat="1" applyFont="1" applyFill="1" applyBorder="1" applyAlignment="1">
      <alignment horizontal="center" vertical="center"/>
    </xf>
    <xf numFmtId="164" fontId="32" fillId="2" borderId="1" xfId="0" applyNumberFormat="1" applyFont="1" applyFill="1" applyBorder="1" applyAlignment="1">
      <alignment horizontal="center" vertical="center"/>
    </xf>
    <xf numFmtId="6" fontId="35" fillId="3" borderId="1" xfId="0" applyNumberFormat="1" applyFont="1" applyFill="1" applyBorder="1" applyAlignment="1">
      <alignment horizontal="center" vertical="center"/>
    </xf>
    <xf numFmtId="6" fontId="36" fillId="3" borderId="1" xfId="0" applyNumberFormat="1" applyFont="1" applyFill="1" applyBorder="1" applyAlignment="1">
      <alignment horizontal="center" vertical="center"/>
    </xf>
    <xf numFmtId="6" fontId="38" fillId="3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2">
    <dxf>
      <fill>
        <patternFill>
          <bgColor rgb="FFFDECEA"/>
        </patternFill>
      </fill>
    </dxf>
    <dxf>
      <fill>
        <patternFill>
          <bgColor rgb="FFEDF7F1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A6B3C"/>
      <rgbColor rgb="FF000080"/>
      <rgbColor rgb="FFB8960C"/>
      <rgbColor rgb="FF800080"/>
      <rgbColor rgb="FF0B6E8A"/>
      <rgbColor rgb="FFDEE2E6"/>
      <rgbColor rgb="FF878787"/>
      <rgbColor rgb="FF9999FF"/>
      <rgbColor rgb="FF993366"/>
      <rgbColor rgb="FFFEFAE8"/>
      <rgbColor rgb="FFE5F4F8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8F5EE"/>
      <rgbColor rgb="FFEDF7F1"/>
      <rgbColor rgb="FFFDECEA"/>
      <rgbColor rgb="FF99CCFF"/>
      <rgbColor rgb="FFFF99CC"/>
      <rgbColor rgb="FFCC99FF"/>
      <rgbColor rgb="FFF8F9FA"/>
      <rgbColor rgb="FF3366FF"/>
      <rgbColor rgb="FF33CCCC"/>
      <rgbColor rgb="FF99CC00"/>
      <rgbColor rgb="FFFFCC00"/>
      <rgbColor rgb="FFFF9900"/>
      <rgbColor rgb="FFFF6600"/>
      <rgbColor rgb="FF6C757D"/>
      <rgbColor rgb="FFC9A84C"/>
      <rgbColor rgb="FF1A2F5A"/>
      <rgbColor rgb="FF339966"/>
      <rgbColor rgb="FF003300"/>
      <rgbColor rgb="FF333300"/>
      <rgbColor rgb="FFC0392B"/>
      <rgbColor rgb="FF993366"/>
      <rgbColor rgb="FF333399"/>
      <rgbColor rgb="FF212529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/>
              <a:t>Portfolio vs Nifty 50 (₹10L invested)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0762381231057631"/>
          <c:y val="0.11943762806530504"/>
          <c:w val="0.87575924102066349"/>
          <c:h val="0.67559157908652256"/>
        </c:manualLayout>
      </c:layout>
      <c:lineChart>
        <c:grouping val="standard"/>
        <c:varyColors val="0"/>
        <c:ser>
          <c:idx val="0"/>
          <c:order val="0"/>
          <c:tx>
            <c:strRef>
              <c:f>'💰 Portfolio Simulator'!$B$120</c:f>
              <c:strCache>
                <c:ptCount val="1"/>
                <c:pt idx="0">
                  <c:v>Our Portfolio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Lbl>
              <c:idx val="19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C18A-4961-BA1C-9C7EB527035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'💰 Portfolio Simulator'!$A$121:$A$141</c:f>
              <c:strCache>
                <c:ptCount val="21"/>
                <c:pt idx="0">
                  <c:v>2024-09</c:v>
                </c:pt>
                <c:pt idx="1">
                  <c:v>2024-10</c:v>
                </c:pt>
                <c:pt idx="2">
                  <c:v>2024-11</c:v>
                </c:pt>
                <c:pt idx="3">
                  <c:v>2024-12</c:v>
                </c:pt>
                <c:pt idx="4">
                  <c:v>2025-01</c:v>
                </c:pt>
                <c:pt idx="5">
                  <c:v>2025-02</c:v>
                </c:pt>
                <c:pt idx="6">
                  <c:v>2025-03</c:v>
                </c:pt>
                <c:pt idx="7">
                  <c:v>2025-04</c:v>
                </c:pt>
                <c:pt idx="8">
                  <c:v>2025-05</c:v>
                </c:pt>
                <c:pt idx="9">
                  <c:v>2025-06</c:v>
                </c:pt>
                <c:pt idx="10">
                  <c:v>2025-07</c:v>
                </c:pt>
                <c:pt idx="11">
                  <c:v>2025-08</c:v>
                </c:pt>
                <c:pt idx="12">
                  <c:v>2025-09</c:v>
                </c:pt>
                <c:pt idx="13">
                  <c:v>2025-10</c:v>
                </c:pt>
                <c:pt idx="14">
                  <c:v>2025-11</c:v>
                </c:pt>
                <c:pt idx="15">
                  <c:v>2025-12</c:v>
                </c:pt>
                <c:pt idx="16">
                  <c:v>2026-01</c:v>
                </c:pt>
                <c:pt idx="17">
                  <c:v>2026-02</c:v>
                </c:pt>
                <c:pt idx="18">
                  <c:v>2026-03</c:v>
                </c:pt>
                <c:pt idx="19">
                  <c:v>2026-04</c:v>
                </c:pt>
                <c:pt idx="20">
                  <c:v>2026-05</c:v>
                </c:pt>
              </c:strCache>
            </c:strRef>
          </c:cat>
          <c:val>
            <c:numRef>
              <c:f>'💰 Portfolio Simulator'!$B$121:$B$141</c:f>
              <c:numCache>
                <c:formatCode>General</c:formatCode>
                <c:ptCount val="21"/>
                <c:pt idx="0">
                  <c:v>1000000</c:v>
                </c:pt>
                <c:pt idx="1">
                  <c:v>997323</c:v>
                </c:pt>
                <c:pt idx="2">
                  <c:v>998368</c:v>
                </c:pt>
                <c:pt idx="3">
                  <c:v>998368</c:v>
                </c:pt>
                <c:pt idx="4">
                  <c:v>998368</c:v>
                </c:pt>
                <c:pt idx="5">
                  <c:v>998368</c:v>
                </c:pt>
                <c:pt idx="6">
                  <c:v>998368</c:v>
                </c:pt>
                <c:pt idx="7">
                  <c:v>998368</c:v>
                </c:pt>
                <c:pt idx="8">
                  <c:v>998368</c:v>
                </c:pt>
                <c:pt idx="9">
                  <c:v>998368</c:v>
                </c:pt>
                <c:pt idx="10">
                  <c:v>998368</c:v>
                </c:pt>
                <c:pt idx="11">
                  <c:v>998368</c:v>
                </c:pt>
                <c:pt idx="12">
                  <c:v>998368</c:v>
                </c:pt>
                <c:pt idx="13">
                  <c:v>998368</c:v>
                </c:pt>
                <c:pt idx="14">
                  <c:v>1007486</c:v>
                </c:pt>
                <c:pt idx="15">
                  <c:v>1175657</c:v>
                </c:pt>
                <c:pt idx="16">
                  <c:v>1265366</c:v>
                </c:pt>
                <c:pt idx="17">
                  <c:v>1302606</c:v>
                </c:pt>
                <c:pt idx="18">
                  <c:v>1625559</c:v>
                </c:pt>
                <c:pt idx="19">
                  <c:v>2412336</c:v>
                </c:pt>
                <c:pt idx="20">
                  <c:v>2565184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C18A-4961-BA1C-9C7EB5270351}"/>
            </c:ext>
          </c:extLst>
        </c:ser>
        <c:ser>
          <c:idx val="1"/>
          <c:order val="1"/>
          <c:tx>
            <c:strRef>
              <c:f>'💰 Portfolio Simulator'!$C$120</c:f>
              <c:strCache>
                <c:ptCount val="1"/>
                <c:pt idx="0">
                  <c:v>Nifty 50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19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C18A-4961-BA1C-9C7EB527035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'💰 Portfolio Simulator'!$A$121:$A$141</c:f>
              <c:strCache>
                <c:ptCount val="21"/>
                <c:pt idx="0">
                  <c:v>2024-09</c:v>
                </c:pt>
                <c:pt idx="1">
                  <c:v>2024-10</c:v>
                </c:pt>
                <c:pt idx="2">
                  <c:v>2024-11</c:v>
                </c:pt>
                <c:pt idx="3">
                  <c:v>2024-12</c:v>
                </c:pt>
                <c:pt idx="4">
                  <c:v>2025-01</c:v>
                </c:pt>
                <c:pt idx="5">
                  <c:v>2025-02</c:v>
                </c:pt>
                <c:pt idx="6">
                  <c:v>2025-03</c:v>
                </c:pt>
                <c:pt idx="7">
                  <c:v>2025-04</c:v>
                </c:pt>
                <c:pt idx="8">
                  <c:v>2025-05</c:v>
                </c:pt>
                <c:pt idx="9">
                  <c:v>2025-06</c:v>
                </c:pt>
                <c:pt idx="10">
                  <c:v>2025-07</c:v>
                </c:pt>
                <c:pt idx="11">
                  <c:v>2025-08</c:v>
                </c:pt>
                <c:pt idx="12">
                  <c:v>2025-09</c:v>
                </c:pt>
                <c:pt idx="13">
                  <c:v>2025-10</c:v>
                </c:pt>
                <c:pt idx="14">
                  <c:v>2025-11</c:v>
                </c:pt>
                <c:pt idx="15">
                  <c:v>2025-12</c:v>
                </c:pt>
                <c:pt idx="16">
                  <c:v>2026-01</c:v>
                </c:pt>
                <c:pt idx="17">
                  <c:v>2026-02</c:v>
                </c:pt>
                <c:pt idx="18">
                  <c:v>2026-03</c:v>
                </c:pt>
                <c:pt idx="19">
                  <c:v>2026-04</c:v>
                </c:pt>
                <c:pt idx="20">
                  <c:v>2026-05</c:v>
                </c:pt>
              </c:strCache>
            </c:strRef>
          </c:cat>
          <c:val>
            <c:numRef>
              <c:f>'💰 Portfolio Simulator'!$C$121:$C$141</c:f>
              <c:numCache>
                <c:formatCode>General</c:formatCode>
                <c:ptCount val="21"/>
                <c:pt idx="0">
                  <c:v>1000000</c:v>
                </c:pt>
                <c:pt idx="1">
                  <c:v>963483</c:v>
                </c:pt>
                <c:pt idx="2">
                  <c:v>912234</c:v>
                </c:pt>
                <c:pt idx="3">
                  <c:v>923128</c:v>
                </c:pt>
                <c:pt idx="4">
                  <c:v>916576</c:v>
                </c:pt>
                <c:pt idx="5">
                  <c:v>897930</c:v>
                </c:pt>
                <c:pt idx="6">
                  <c:v>865909</c:v>
                </c:pt>
                <c:pt idx="7">
                  <c:v>911731</c:v>
                </c:pt>
                <c:pt idx="8">
                  <c:v>931889</c:v>
                </c:pt>
                <c:pt idx="9">
                  <c:v>935688</c:v>
                </c:pt>
                <c:pt idx="10">
                  <c:v>962785</c:v>
                </c:pt>
                <c:pt idx="11">
                  <c:v>978252</c:v>
                </c:pt>
                <c:pt idx="12">
                  <c:v>1000543</c:v>
                </c:pt>
                <c:pt idx="13">
                  <c:v>938324</c:v>
                </c:pt>
                <c:pt idx="14">
                  <c:v>926772</c:v>
                </c:pt>
                <c:pt idx="15">
                  <c:v>916615</c:v>
                </c:pt>
                <c:pt idx="16">
                  <c:v>897891</c:v>
                </c:pt>
                <c:pt idx="17">
                  <c:v>883664</c:v>
                </c:pt>
                <c:pt idx="18">
                  <c:v>917119</c:v>
                </c:pt>
                <c:pt idx="19">
                  <c:v>914522</c:v>
                </c:pt>
                <c:pt idx="20">
                  <c:v>957513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C18A-4961-BA1C-9C7EB5270351}"/>
            </c:ext>
          </c:extLst>
        </c:ser>
        <c:dLbls>
          <c:dLblPos val="t"/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9525">
              <a:solidFill>
                <a:schemeClr val="lt1">
                  <a:lumMod val="95000"/>
                  <a:alpha val="54000"/>
                </a:schemeClr>
              </a:solidFill>
              <a:prstDash val="dash"/>
            </a:ln>
            <a:effectLst/>
          </c:spPr>
        </c:hiLowLines>
        <c:smooth val="0"/>
        <c:axId val="72165277"/>
        <c:axId val="40426076"/>
      </c:lineChart>
      <c:catAx>
        <c:axId val="72165277"/>
        <c:scaling>
          <c:orientation val="minMax"/>
        </c:scaling>
        <c:delete val="0"/>
        <c:axPos val="b"/>
        <c:title>
          <c:tx>
            <c:rich>
              <a:bodyPr rot="0" spcFirstLastPara="1" vertOverflow="ellipsis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Month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426076"/>
        <c:crosses val="autoZero"/>
        <c:auto val="1"/>
        <c:lblAlgn val="ctr"/>
        <c:lblOffset val="100"/>
        <c:noMultiLvlLbl val="0"/>
      </c:catAx>
      <c:valAx>
        <c:axId val="40426076"/>
        <c:scaling>
          <c:orientation val="minMax"/>
          <c:max val="2600000"/>
          <c:min val="700000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Portfolio Value (₹)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16527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>
      <a:outerShdw blurRad="50800" dist="12700" dir="5400000" algn="ctr" rotWithShape="0">
        <a:srgbClr val="000000">
          <a:alpha val="43137"/>
        </a:srgbClr>
      </a:outerShd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121920</xdr:colOff>
      <xdr:row>3</xdr:row>
      <xdr:rowOff>30480</xdr:rowOff>
    </xdr:from>
    <xdr:to>
      <xdr:col>22</xdr:col>
      <xdr:colOff>207960</xdr:colOff>
      <xdr:row>25</xdr:row>
      <xdr:rowOff>17820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57"/>
  <sheetViews>
    <sheetView showGridLines="0" tabSelected="1" zoomScaleNormal="100" workbookViewId="0">
      <pane ySplit="4" topLeftCell="A5" activePane="bottomLeft" state="frozen"/>
      <selection pane="bottomLeft" activeCell="H7" sqref="H7"/>
    </sheetView>
  </sheetViews>
  <sheetFormatPr defaultColWidth="8.6640625" defaultRowHeight="14.4" x14ac:dyDescent="0.3"/>
  <cols>
    <col min="1" max="1" width="3.109375" bestFit="1" customWidth="1"/>
    <col min="2" max="2" width="10.88671875" bestFit="1" customWidth="1"/>
    <col min="3" max="3" width="16" bestFit="1" customWidth="1"/>
    <col min="4" max="4" width="7.88671875" bestFit="1" customWidth="1"/>
    <col min="5" max="5" width="7" bestFit="1" customWidth="1"/>
    <col min="6" max="6" width="7.109375" bestFit="1" customWidth="1"/>
    <col min="7" max="7" width="3.44140625" bestFit="1" customWidth="1"/>
    <col min="8" max="8" width="10.5546875" bestFit="1" customWidth="1"/>
    <col min="9" max="11" width="7.109375" bestFit="1" customWidth="1"/>
    <col min="12" max="12" width="7.5546875" bestFit="1" customWidth="1"/>
    <col min="13" max="13" width="11.77734375" bestFit="1" customWidth="1"/>
    <col min="14" max="14" width="16.77734375" bestFit="1" customWidth="1"/>
    <col min="15" max="15" width="5.44140625" bestFit="1" customWidth="1"/>
    <col min="16" max="16" width="6.88671875" bestFit="1" customWidth="1"/>
    <col min="17" max="17" width="7.6640625" bestFit="1" customWidth="1"/>
    <col min="18" max="18" width="6.6640625" bestFit="1" customWidth="1"/>
    <col min="19" max="19" width="10.44140625" bestFit="1" customWidth="1"/>
    <col min="20" max="20" width="13.44140625" bestFit="1" customWidth="1"/>
    <col min="21" max="21" width="8.77734375" bestFit="1" customWidth="1"/>
  </cols>
  <sheetData>
    <row r="1" spans="1:21" ht="31.5" customHeight="1" x14ac:dyDescent="0.3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</row>
    <row r="2" spans="1:21" ht="13.5" customHeight="1" x14ac:dyDescent="0.3">
      <c r="A2" s="7" t="s">
        <v>1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</row>
    <row r="3" spans="1:21" ht="3.75" customHeight="1" x14ac:dyDescent="0.3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</row>
    <row r="4" spans="1:21" ht="31.5" customHeight="1" x14ac:dyDescent="0.3">
      <c r="A4" s="9" t="s">
        <v>2</v>
      </c>
      <c r="B4" s="9" t="s">
        <v>3</v>
      </c>
      <c r="C4" s="9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10" t="s">
        <v>9</v>
      </c>
      <c r="I4" s="9" t="s">
        <v>10</v>
      </c>
      <c r="J4" s="9" t="s">
        <v>11</v>
      </c>
      <c r="K4" s="9" t="s">
        <v>12</v>
      </c>
      <c r="L4" s="9" t="s">
        <v>13</v>
      </c>
      <c r="M4" s="10" t="s">
        <v>14</v>
      </c>
      <c r="N4" s="10" t="s">
        <v>15</v>
      </c>
      <c r="O4" s="10" t="s">
        <v>16</v>
      </c>
      <c r="P4" s="10" t="s">
        <v>17</v>
      </c>
      <c r="Q4" s="9" t="s">
        <v>18</v>
      </c>
      <c r="R4" s="9" t="s">
        <v>19</v>
      </c>
      <c r="S4" s="9" t="s">
        <v>20</v>
      </c>
      <c r="T4" s="9" t="s">
        <v>21</v>
      </c>
      <c r="U4" s="9" t="s">
        <v>22</v>
      </c>
    </row>
    <row r="5" spans="1:21" ht="18.75" customHeight="1" x14ac:dyDescent="0.3">
      <c r="A5" s="11">
        <v>1</v>
      </c>
      <c r="B5" s="12" t="s">
        <v>23</v>
      </c>
      <c r="C5" s="13" t="s">
        <v>24</v>
      </c>
      <c r="D5" s="14" t="s">
        <v>25</v>
      </c>
      <c r="E5" s="15">
        <v>800</v>
      </c>
      <c r="F5" s="15">
        <v>800</v>
      </c>
      <c r="G5" s="14" t="s">
        <v>26</v>
      </c>
      <c r="H5" s="16" t="str">
        <f ca="1">IFERROR(googlefinance("NSE:HDFCBANK","price"),"–")</f>
        <v>–</v>
      </c>
      <c r="I5" s="17">
        <v>850</v>
      </c>
      <c r="J5" s="18">
        <v>890</v>
      </c>
      <c r="K5" s="18">
        <v>940</v>
      </c>
      <c r="L5" s="19">
        <v>780</v>
      </c>
      <c r="M5" s="20" t="s">
        <v>27</v>
      </c>
      <c r="N5" s="20" t="s">
        <v>28</v>
      </c>
      <c r="O5" s="21" t="s">
        <v>29</v>
      </c>
      <c r="P5" s="22">
        <v>-2.5000000000000001E-2</v>
      </c>
      <c r="Q5" s="23" t="s">
        <v>30</v>
      </c>
      <c r="R5" s="14">
        <v>15</v>
      </c>
      <c r="S5" s="13" t="s">
        <v>31</v>
      </c>
      <c r="T5" s="24" t="s">
        <v>32</v>
      </c>
      <c r="U5" s="25" t="s">
        <v>33</v>
      </c>
    </row>
    <row r="6" spans="1:21" ht="18.75" customHeight="1" x14ac:dyDescent="0.3">
      <c r="A6" s="26">
        <v>2</v>
      </c>
      <c r="B6" s="27" t="s">
        <v>34</v>
      </c>
      <c r="C6" s="28" t="s">
        <v>35</v>
      </c>
      <c r="D6" s="29" t="s">
        <v>36</v>
      </c>
      <c r="E6" s="30">
        <v>1750</v>
      </c>
      <c r="F6" s="30">
        <v>1750</v>
      </c>
      <c r="G6" s="29" t="s">
        <v>26</v>
      </c>
      <c r="H6" s="16" t="str">
        <f ca="1">IFERROR(googlefinance("NSE:INFY","price"),"–")</f>
        <v>–</v>
      </c>
      <c r="I6" s="31">
        <v>1830</v>
      </c>
      <c r="J6" s="32">
        <v>1900</v>
      </c>
      <c r="K6" s="32">
        <v>2000</v>
      </c>
      <c r="L6" s="33">
        <v>1700</v>
      </c>
      <c r="M6" s="34" t="s">
        <v>27</v>
      </c>
      <c r="N6" s="34" t="s">
        <v>37</v>
      </c>
      <c r="O6" s="21" t="s">
        <v>29</v>
      </c>
      <c r="P6" s="35">
        <v>-2.8570999999999999E-2</v>
      </c>
      <c r="Q6" s="36" t="s">
        <v>30</v>
      </c>
      <c r="R6" s="29">
        <v>15</v>
      </c>
      <c r="S6" s="28" t="s">
        <v>38</v>
      </c>
      <c r="T6" s="37" t="s">
        <v>39</v>
      </c>
      <c r="U6" s="38" t="s">
        <v>40</v>
      </c>
    </row>
    <row r="7" spans="1:21" ht="18.75" customHeight="1" x14ac:dyDescent="0.3">
      <c r="A7" s="11">
        <v>3</v>
      </c>
      <c r="B7" s="12" t="s">
        <v>41</v>
      </c>
      <c r="C7" s="13" t="s">
        <v>42</v>
      </c>
      <c r="D7" s="14" t="s">
        <v>43</v>
      </c>
      <c r="E7" s="15">
        <v>390</v>
      </c>
      <c r="F7" s="15">
        <v>390</v>
      </c>
      <c r="G7" s="14" t="s">
        <v>26</v>
      </c>
      <c r="H7" s="16" t="str">
        <f ca="1">IFERROR(googlefinance("NSE:TATAMOTORS","price"),"–")</f>
        <v>–</v>
      </c>
      <c r="I7" s="17">
        <v>420</v>
      </c>
      <c r="J7" s="18">
        <v>450</v>
      </c>
      <c r="K7" s="18">
        <v>490</v>
      </c>
      <c r="L7" s="19">
        <v>375</v>
      </c>
      <c r="M7" s="20" t="s">
        <v>27</v>
      </c>
      <c r="N7" s="20" t="s">
        <v>44</v>
      </c>
      <c r="O7" s="21" t="s">
        <v>29</v>
      </c>
      <c r="P7" s="22">
        <v>-3.8462000000000003E-2</v>
      </c>
      <c r="Q7" s="23" t="s">
        <v>30</v>
      </c>
      <c r="R7" s="14">
        <v>15</v>
      </c>
      <c r="S7" s="13" t="s">
        <v>45</v>
      </c>
      <c r="T7" s="24" t="s">
        <v>46</v>
      </c>
      <c r="U7" s="25" t="s">
        <v>47</v>
      </c>
    </row>
    <row r="8" spans="1:21" ht="18.75" customHeight="1" x14ac:dyDescent="0.3">
      <c r="A8" s="26">
        <v>4</v>
      </c>
      <c r="B8" s="27" t="s">
        <v>48</v>
      </c>
      <c r="C8" s="28" t="s">
        <v>49</v>
      </c>
      <c r="D8" s="29" t="s">
        <v>50</v>
      </c>
      <c r="E8" s="30">
        <v>1680</v>
      </c>
      <c r="F8" s="30">
        <v>1680</v>
      </c>
      <c r="G8" s="29" t="s">
        <v>26</v>
      </c>
      <c r="H8" s="16" t="str">
        <f ca="1">IFERROR(googlefinance("NSE:SUNPHARMA","price"),"–")</f>
        <v>–</v>
      </c>
      <c r="I8" s="31">
        <v>1780</v>
      </c>
      <c r="J8" s="32">
        <v>1850</v>
      </c>
      <c r="K8" s="32">
        <v>1950</v>
      </c>
      <c r="L8" s="33">
        <v>1640</v>
      </c>
      <c r="M8" s="39" t="s">
        <v>51</v>
      </c>
      <c r="N8" s="39" t="s">
        <v>52</v>
      </c>
      <c r="O8" s="40" t="s">
        <v>53</v>
      </c>
      <c r="P8" s="41">
        <v>5.9524000000000001E-2</v>
      </c>
      <c r="Q8" s="42" t="s">
        <v>54</v>
      </c>
      <c r="R8" s="29">
        <v>30</v>
      </c>
      <c r="S8" s="28" t="s">
        <v>55</v>
      </c>
      <c r="T8" s="37" t="s">
        <v>56</v>
      </c>
      <c r="U8" s="43" t="s">
        <v>57</v>
      </c>
    </row>
    <row r="9" spans="1:21" ht="18.75" customHeight="1" x14ac:dyDescent="0.3">
      <c r="A9" s="11">
        <v>5</v>
      </c>
      <c r="B9" s="12" t="s">
        <v>58</v>
      </c>
      <c r="C9" s="13" t="s">
        <v>59</v>
      </c>
      <c r="D9" s="14" t="s">
        <v>60</v>
      </c>
      <c r="E9" s="15">
        <v>900</v>
      </c>
      <c r="F9" s="15">
        <v>900</v>
      </c>
      <c r="G9" s="14" t="s">
        <v>26</v>
      </c>
      <c r="H9" s="16" t="str">
        <f ca="1">IFERROR(googlefinance("NSE:PNBHOUSING","price"),"–")</f>
        <v>–</v>
      </c>
      <c r="I9" s="17">
        <v>950</v>
      </c>
      <c r="J9" s="18">
        <v>1000</v>
      </c>
      <c r="K9" s="18">
        <v>1089</v>
      </c>
      <c r="L9" s="19">
        <v>800</v>
      </c>
      <c r="M9" s="44" t="s">
        <v>61</v>
      </c>
      <c r="N9" s="44" t="s">
        <v>62</v>
      </c>
      <c r="O9" s="40" t="s">
        <v>53</v>
      </c>
      <c r="P9" s="45">
        <v>0.21</v>
      </c>
      <c r="Q9" s="46" t="s">
        <v>63</v>
      </c>
      <c r="R9" s="14">
        <v>60</v>
      </c>
      <c r="S9" s="13" t="s">
        <v>64</v>
      </c>
      <c r="T9" s="24" t="s">
        <v>65</v>
      </c>
      <c r="U9" s="47" t="s">
        <v>66</v>
      </c>
    </row>
    <row r="10" spans="1:21" ht="18.75" customHeight="1" x14ac:dyDescent="0.3">
      <c r="A10" s="26">
        <v>6</v>
      </c>
      <c r="B10" s="27" t="s">
        <v>67</v>
      </c>
      <c r="C10" s="28" t="s">
        <v>68</v>
      </c>
      <c r="D10" s="29" t="s">
        <v>69</v>
      </c>
      <c r="E10" s="30">
        <v>1400</v>
      </c>
      <c r="F10" s="30">
        <v>1400</v>
      </c>
      <c r="G10" s="29" t="s">
        <v>26</v>
      </c>
      <c r="H10" s="16" t="str">
        <f ca="1">IFERROR(googlefinance("NSE:CREDITACC","price"),"–")</f>
        <v>–</v>
      </c>
      <c r="I10" s="31">
        <v>1497</v>
      </c>
      <c r="J10" s="32">
        <v>1550</v>
      </c>
      <c r="K10" s="32">
        <v>1600</v>
      </c>
      <c r="L10" s="33">
        <v>1250</v>
      </c>
      <c r="M10" s="39" t="s">
        <v>51</v>
      </c>
      <c r="N10" s="39" t="s">
        <v>70</v>
      </c>
      <c r="O10" s="40" t="s">
        <v>53</v>
      </c>
      <c r="P10" s="41">
        <v>6.9286E-2</v>
      </c>
      <c r="Q10" s="42" t="s">
        <v>54</v>
      </c>
      <c r="R10" s="29">
        <v>30</v>
      </c>
      <c r="S10" s="28" t="s">
        <v>64</v>
      </c>
      <c r="T10" s="37" t="s">
        <v>71</v>
      </c>
      <c r="U10" s="43" t="s">
        <v>72</v>
      </c>
    </row>
    <row r="11" spans="1:21" ht="18.75" customHeight="1" x14ac:dyDescent="0.3">
      <c r="A11" s="11">
        <v>7</v>
      </c>
      <c r="B11" s="12" t="s">
        <v>73</v>
      </c>
      <c r="C11" s="13" t="s">
        <v>73</v>
      </c>
      <c r="D11" s="14" t="s">
        <v>69</v>
      </c>
      <c r="E11" s="15">
        <v>800</v>
      </c>
      <c r="F11" s="15">
        <v>800</v>
      </c>
      <c r="G11" s="14" t="s">
        <v>26</v>
      </c>
      <c r="H11" s="16" t="str">
        <f ca="1">IFERROR(googlefinance("NSE:HINDALCO","price"),"–")</f>
        <v>–</v>
      </c>
      <c r="I11" s="17">
        <v>925</v>
      </c>
      <c r="J11" s="18">
        <v>1000</v>
      </c>
      <c r="K11" s="18">
        <v>1044</v>
      </c>
      <c r="L11" s="19">
        <v>750</v>
      </c>
      <c r="M11" s="44" t="s">
        <v>61</v>
      </c>
      <c r="N11" s="44" t="s">
        <v>74</v>
      </c>
      <c r="O11" s="40" t="s">
        <v>53</v>
      </c>
      <c r="P11" s="45">
        <v>0.30499999999999999</v>
      </c>
      <c r="Q11" s="46" t="s">
        <v>63</v>
      </c>
      <c r="R11" s="14">
        <v>60</v>
      </c>
      <c r="S11" s="13" t="s">
        <v>75</v>
      </c>
      <c r="T11" s="24" t="s">
        <v>76</v>
      </c>
      <c r="U11" s="47" t="s">
        <v>77</v>
      </c>
    </row>
    <row r="12" spans="1:21" ht="18.75" customHeight="1" x14ac:dyDescent="0.3">
      <c r="A12" s="26">
        <v>8</v>
      </c>
      <c r="B12" s="27" t="s">
        <v>78</v>
      </c>
      <c r="C12" s="28" t="s">
        <v>79</v>
      </c>
      <c r="D12" s="29" t="s">
        <v>69</v>
      </c>
      <c r="E12" s="30">
        <v>200</v>
      </c>
      <c r="F12" s="30">
        <v>200</v>
      </c>
      <c r="G12" s="29" t="s">
        <v>26</v>
      </c>
      <c r="H12" s="16" t="str">
        <f ca="1">IFERROR(googlefinance("NSE:SHANTIGOLD","price"),"–")</f>
        <v>–</v>
      </c>
      <c r="I12" s="31">
        <v>225</v>
      </c>
      <c r="J12" s="32">
        <v>250</v>
      </c>
      <c r="K12" s="32">
        <v>275</v>
      </c>
      <c r="L12" s="33">
        <v>175</v>
      </c>
      <c r="M12" s="39" t="s">
        <v>51</v>
      </c>
      <c r="N12" s="39" t="s">
        <v>80</v>
      </c>
      <c r="O12" s="40" t="s">
        <v>53</v>
      </c>
      <c r="P12" s="41">
        <v>0.125</v>
      </c>
      <c r="Q12" s="42" t="s">
        <v>54</v>
      </c>
      <c r="R12" s="29">
        <v>30</v>
      </c>
      <c r="S12" s="28" t="s">
        <v>75</v>
      </c>
      <c r="T12" s="37" t="s">
        <v>81</v>
      </c>
      <c r="U12" s="43" t="s">
        <v>72</v>
      </c>
    </row>
    <row r="13" spans="1:21" ht="18.75" customHeight="1" x14ac:dyDescent="0.3">
      <c r="A13" s="11">
        <v>9</v>
      </c>
      <c r="B13" s="12" t="s">
        <v>82</v>
      </c>
      <c r="C13" s="13" t="s">
        <v>82</v>
      </c>
      <c r="D13" s="14" t="s">
        <v>69</v>
      </c>
      <c r="E13" s="15">
        <v>100</v>
      </c>
      <c r="F13" s="15">
        <v>100</v>
      </c>
      <c r="G13" s="14" t="s">
        <v>26</v>
      </c>
      <c r="H13" s="16" t="str">
        <f ca="1">IFERROR(googlefinance("NSE:NBCC","price"),"–")</f>
        <v>–</v>
      </c>
      <c r="I13" s="17">
        <v>120</v>
      </c>
      <c r="J13" s="18">
        <v>125</v>
      </c>
      <c r="K13" s="48" t="s">
        <v>83</v>
      </c>
      <c r="L13" s="19">
        <v>95</v>
      </c>
      <c r="M13" s="49" t="str">
        <f ca="1">IF(OR(H13="",H13="–"),"–",IFERROR(IF(H13&lt;L13,"🔴 SL Hit",IF(AND(ISNUMBER(K13),H13&gt;=K13),"✅ T3 Hit",IF(AND(ISNUMBER(J13),H13&gt;=J13),"✅ T2 Hit",IF(AND(ISNUMBER(I13),H13&gt;=I13),"✅ T1 Hit",IF(AND(ISNUMBER(E13),H13&gt;=E13),"🟡 In Buy Zone","📈 Monitoring"))))),"-"))</f>
        <v>–</v>
      </c>
      <c r="N13" s="50" t="str">
        <f ca="1">IF(M13="🟡 In Buy Zone","🔔 BUY NOW!",IF(M13="🔴 SL Hit","⚠️ EXIT NOW!","📊 Monitoring"))</f>
        <v>📊 Monitoring</v>
      </c>
      <c r="O13" s="51" t="s">
        <v>84</v>
      </c>
      <c r="P13" s="52" t="str">
        <f ca="1">IF(OR(ISBLANK(H13),H13="–",H13="N/A",NOT(ISNUMBER(H13)),ISBLANK(E13),E13=0),"–",(H13-E13)/E13)</f>
        <v>–</v>
      </c>
      <c r="Q13" s="53" t="s">
        <v>84</v>
      </c>
      <c r="R13" s="14">
        <v>210</v>
      </c>
      <c r="S13" s="13" t="s">
        <v>85</v>
      </c>
      <c r="T13" s="24" t="s">
        <v>86</v>
      </c>
      <c r="U13" s="14" t="s">
        <v>87</v>
      </c>
    </row>
    <row r="14" spans="1:21" ht="18.75" customHeight="1" x14ac:dyDescent="0.3">
      <c r="A14" s="26">
        <v>10</v>
      </c>
      <c r="B14" s="27" t="s">
        <v>88</v>
      </c>
      <c r="C14" s="28" t="s">
        <v>89</v>
      </c>
      <c r="D14" s="29" t="s">
        <v>90</v>
      </c>
      <c r="E14" s="30">
        <v>50</v>
      </c>
      <c r="F14" s="30">
        <v>50</v>
      </c>
      <c r="G14" s="29" t="s">
        <v>26</v>
      </c>
      <c r="H14" s="16" t="str">
        <f ca="1">IFERROR(googlefinance("NSE:UJJIVANSFB","price"),"–")</f>
        <v>–</v>
      </c>
      <c r="I14" s="31">
        <v>55</v>
      </c>
      <c r="J14" s="32">
        <v>60</v>
      </c>
      <c r="K14" s="32">
        <v>62.4</v>
      </c>
      <c r="L14" s="33">
        <v>45</v>
      </c>
      <c r="M14" s="39" t="s">
        <v>61</v>
      </c>
      <c r="N14" s="39" t="s">
        <v>91</v>
      </c>
      <c r="O14" s="40" t="s">
        <v>53</v>
      </c>
      <c r="P14" s="41">
        <v>0.248</v>
      </c>
      <c r="Q14" s="42" t="s">
        <v>63</v>
      </c>
      <c r="R14" s="29">
        <v>60</v>
      </c>
      <c r="S14" s="28" t="s">
        <v>31</v>
      </c>
      <c r="T14" s="37" t="s">
        <v>92</v>
      </c>
      <c r="U14" s="43" t="s">
        <v>93</v>
      </c>
    </row>
    <row r="15" spans="1:21" ht="18.75" customHeight="1" x14ac:dyDescent="0.3">
      <c r="A15" s="11">
        <v>11</v>
      </c>
      <c r="B15" s="12" t="s">
        <v>94</v>
      </c>
      <c r="C15" s="13" t="s">
        <v>95</v>
      </c>
      <c r="D15" s="14" t="s">
        <v>90</v>
      </c>
      <c r="E15" s="15">
        <v>170</v>
      </c>
      <c r="F15" s="15">
        <v>170</v>
      </c>
      <c r="G15" s="14" t="s">
        <v>26</v>
      </c>
      <c r="H15" s="16" t="str">
        <f ca="1">IFERROR(googlefinance("NSE:JMFINANCIL","price"),"–")</f>
        <v>–</v>
      </c>
      <c r="I15" s="17">
        <v>178</v>
      </c>
      <c r="J15" s="18">
        <v>182</v>
      </c>
      <c r="K15" s="18">
        <v>190</v>
      </c>
      <c r="L15" s="19">
        <v>168</v>
      </c>
      <c r="M15" s="20" t="s">
        <v>27</v>
      </c>
      <c r="N15" s="20" t="s">
        <v>96</v>
      </c>
      <c r="O15" s="21" t="s">
        <v>29</v>
      </c>
      <c r="P15" s="22">
        <v>-1.1764999999999999E-2</v>
      </c>
      <c r="Q15" s="23" t="s">
        <v>30</v>
      </c>
      <c r="R15" s="14">
        <v>15</v>
      </c>
      <c r="S15" s="13" t="s">
        <v>97</v>
      </c>
      <c r="T15" s="24" t="s">
        <v>98</v>
      </c>
      <c r="U15" s="25" t="s">
        <v>99</v>
      </c>
    </row>
    <row r="16" spans="1:21" ht="18.75" customHeight="1" x14ac:dyDescent="0.3">
      <c r="A16" s="26">
        <v>12</v>
      </c>
      <c r="B16" s="27" t="s">
        <v>100</v>
      </c>
      <c r="C16" s="28" t="s">
        <v>101</v>
      </c>
      <c r="D16" s="29" t="s">
        <v>102</v>
      </c>
      <c r="E16" s="30">
        <v>200</v>
      </c>
      <c r="F16" s="30">
        <v>200</v>
      </c>
      <c r="G16" s="29" t="s">
        <v>26</v>
      </c>
      <c r="H16" s="16" t="str">
        <f ca="1">IFERROR(googlefinance("NSE:BHARATWIRE","price"),"–")</f>
        <v>–</v>
      </c>
      <c r="I16" s="31">
        <v>225</v>
      </c>
      <c r="J16" s="32">
        <v>250</v>
      </c>
      <c r="K16" s="32">
        <v>260</v>
      </c>
      <c r="L16" s="33">
        <v>175</v>
      </c>
      <c r="M16" s="39" t="s">
        <v>103</v>
      </c>
      <c r="N16" s="39" t="s">
        <v>104</v>
      </c>
      <c r="O16" s="40" t="s">
        <v>53</v>
      </c>
      <c r="P16" s="41">
        <v>0.25</v>
      </c>
      <c r="Q16" s="42" t="s">
        <v>105</v>
      </c>
      <c r="R16" s="29">
        <v>45</v>
      </c>
      <c r="S16" s="28" t="s">
        <v>75</v>
      </c>
      <c r="T16" s="37" t="s">
        <v>106</v>
      </c>
      <c r="U16" s="43" t="s">
        <v>107</v>
      </c>
    </row>
    <row r="17" spans="1:21" ht="18.75" customHeight="1" x14ac:dyDescent="0.3">
      <c r="A17" s="11">
        <v>13</v>
      </c>
      <c r="B17" s="12" t="s">
        <v>108</v>
      </c>
      <c r="C17" s="13" t="s">
        <v>108</v>
      </c>
      <c r="D17" s="14" t="s">
        <v>102</v>
      </c>
      <c r="E17" s="15">
        <v>178</v>
      </c>
      <c r="F17" s="15">
        <v>178</v>
      </c>
      <c r="G17" s="14" t="s">
        <v>26</v>
      </c>
      <c r="H17" s="16" t="str">
        <f ca="1">IFERROR(googlefinance("NSE:AEROFLEX","price"),"–")</f>
        <v>–</v>
      </c>
      <c r="I17" s="17">
        <v>200</v>
      </c>
      <c r="J17" s="18">
        <v>300</v>
      </c>
      <c r="K17" s="18">
        <v>421</v>
      </c>
      <c r="L17" s="19">
        <v>150</v>
      </c>
      <c r="M17" s="44" t="s">
        <v>61</v>
      </c>
      <c r="N17" s="44" t="s">
        <v>109</v>
      </c>
      <c r="O17" s="40" t="s">
        <v>53</v>
      </c>
      <c r="P17" s="45">
        <v>1.3651690000000001</v>
      </c>
      <c r="Q17" s="46" t="s">
        <v>63</v>
      </c>
      <c r="R17" s="14">
        <v>60</v>
      </c>
      <c r="S17" s="13" t="s">
        <v>110</v>
      </c>
      <c r="T17" s="24" t="s">
        <v>111</v>
      </c>
      <c r="U17" s="47" t="s">
        <v>112</v>
      </c>
    </row>
    <row r="18" spans="1:21" ht="18.75" customHeight="1" x14ac:dyDescent="0.3">
      <c r="A18" s="26">
        <v>14</v>
      </c>
      <c r="B18" s="27" t="s">
        <v>113</v>
      </c>
      <c r="C18" s="28" t="s">
        <v>114</v>
      </c>
      <c r="D18" s="29" t="s">
        <v>115</v>
      </c>
      <c r="E18" s="30">
        <v>490</v>
      </c>
      <c r="F18" s="30">
        <v>490</v>
      </c>
      <c r="G18" s="29" t="s">
        <v>26</v>
      </c>
      <c r="H18" s="16" t="str">
        <f ca="1">IFERROR(googlefinance("NSE:ELGIEQUIP","price"),"–")</f>
        <v>–</v>
      </c>
      <c r="I18" s="31">
        <v>525</v>
      </c>
      <c r="J18" s="32">
        <v>560.70000000000005</v>
      </c>
      <c r="K18" s="32">
        <v>600</v>
      </c>
      <c r="L18" s="33">
        <v>450</v>
      </c>
      <c r="M18" s="39" t="s">
        <v>103</v>
      </c>
      <c r="N18" s="39" t="s">
        <v>116</v>
      </c>
      <c r="O18" s="40" t="s">
        <v>53</v>
      </c>
      <c r="P18" s="41">
        <v>0.144286</v>
      </c>
      <c r="Q18" s="42" t="s">
        <v>105</v>
      </c>
      <c r="R18" s="29">
        <v>45</v>
      </c>
      <c r="S18" s="28" t="s">
        <v>110</v>
      </c>
      <c r="T18" s="37" t="s">
        <v>117</v>
      </c>
      <c r="U18" s="43" t="s">
        <v>118</v>
      </c>
    </row>
    <row r="19" spans="1:21" ht="18.75" customHeight="1" x14ac:dyDescent="0.3">
      <c r="A19" s="11">
        <v>15</v>
      </c>
      <c r="B19" s="12" t="s">
        <v>119</v>
      </c>
      <c r="C19" s="13" t="s">
        <v>120</v>
      </c>
      <c r="D19" s="14" t="s">
        <v>115</v>
      </c>
      <c r="E19" s="15">
        <v>170</v>
      </c>
      <c r="F19" s="15">
        <v>170</v>
      </c>
      <c r="G19" s="14" t="s">
        <v>26</v>
      </c>
      <c r="H19" s="16" t="str">
        <f ca="1">IFERROR(googlefinance("NSE:JAICORPLTD","price"),"–")</f>
        <v>–</v>
      </c>
      <c r="I19" s="17">
        <v>180</v>
      </c>
      <c r="J19" s="18">
        <v>190</v>
      </c>
      <c r="K19" s="48" t="s">
        <v>83</v>
      </c>
      <c r="L19" s="19">
        <v>160</v>
      </c>
      <c r="M19" s="20" t="s">
        <v>27</v>
      </c>
      <c r="N19" s="20" t="s">
        <v>121</v>
      </c>
      <c r="O19" s="21" t="s">
        <v>29</v>
      </c>
      <c r="P19" s="22">
        <v>-5.8824000000000001E-2</v>
      </c>
      <c r="Q19" s="23" t="s">
        <v>30</v>
      </c>
      <c r="R19" s="14">
        <v>15</v>
      </c>
      <c r="S19" s="13" t="s">
        <v>85</v>
      </c>
      <c r="T19" s="24" t="s">
        <v>122</v>
      </c>
      <c r="U19" s="25" t="s">
        <v>123</v>
      </c>
    </row>
    <row r="20" spans="1:21" ht="18.75" customHeight="1" x14ac:dyDescent="0.3">
      <c r="A20" s="26">
        <v>16</v>
      </c>
      <c r="B20" s="27" t="s">
        <v>124</v>
      </c>
      <c r="C20" s="28" t="s">
        <v>124</v>
      </c>
      <c r="D20" s="29" t="s">
        <v>115</v>
      </c>
      <c r="E20" s="30">
        <v>45</v>
      </c>
      <c r="F20" s="30">
        <v>45</v>
      </c>
      <c r="G20" s="29" t="s">
        <v>26</v>
      </c>
      <c r="H20" s="16" t="str">
        <f ca="1">IFERROR(googlefinance("NSE:SAGILITY","price"),"–")</f>
        <v>–</v>
      </c>
      <c r="I20" s="31">
        <v>50</v>
      </c>
      <c r="J20" s="32">
        <v>55</v>
      </c>
      <c r="K20" s="32">
        <v>60</v>
      </c>
      <c r="L20" s="33">
        <v>40</v>
      </c>
      <c r="M20" s="54" t="str">
        <f ca="1">IF(OR(H20="",H20="–"),"–",IFERROR(IF(H20&lt;L20,"🔴 SL Hit",IF(AND(ISNUMBER(K20),H20&gt;=K20),"✅ T3 Hit",IF(AND(ISNUMBER(J20),H20&gt;=J20),"✅ T2 Hit",IF(AND(ISNUMBER(I20),H20&gt;=I20),"✅ T1 Hit",IF(AND(ISNUMBER(E20),H20&gt;=E20),"🟡 In Buy Zone","📈 Monitoring"))))),"-"))</f>
        <v>–</v>
      </c>
      <c r="N20" s="55" t="str">
        <f ca="1">IF(M20="🟡 In Buy Zone","🔔 BUY NOW!",IF(M20="🔴 SL Hit","⚠️ EXIT NOW!","📊 Monitoring"))</f>
        <v>📊 Monitoring</v>
      </c>
      <c r="O20" s="51" t="s">
        <v>84</v>
      </c>
      <c r="P20" s="56" t="str">
        <f ca="1">IF(OR(ISBLANK(H20),H20="–",H20="N/A",NOT(ISNUMBER(H20)),ISBLANK(E20),E20=0),"–",(H20-E20)/E20)</f>
        <v>–</v>
      </c>
      <c r="Q20" s="57" t="s">
        <v>84</v>
      </c>
      <c r="R20" s="29">
        <v>205</v>
      </c>
      <c r="S20" s="28" t="s">
        <v>38</v>
      </c>
      <c r="T20" s="37" t="s">
        <v>125</v>
      </c>
      <c r="U20" s="29" t="s">
        <v>87</v>
      </c>
    </row>
    <row r="21" spans="1:21" ht="18.75" customHeight="1" x14ac:dyDescent="0.3">
      <c r="A21" s="11">
        <v>17</v>
      </c>
      <c r="B21" s="12" t="s">
        <v>126</v>
      </c>
      <c r="C21" s="13" t="s">
        <v>127</v>
      </c>
      <c r="D21" s="14" t="s">
        <v>115</v>
      </c>
      <c r="E21" s="15">
        <v>850</v>
      </c>
      <c r="F21" s="15">
        <v>850</v>
      </c>
      <c r="G21" s="14" t="s">
        <v>26</v>
      </c>
      <c r="H21" s="16" t="str">
        <f ca="1">IFERROR(googlefinance("NSE:CANFINHOME","price"),"–")</f>
        <v>–</v>
      </c>
      <c r="I21" s="17">
        <v>890</v>
      </c>
      <c r="J21" s="18">
        <v>1000</v>
      </c>
      <c r="K21" s="48" t="s">
        <v>83</v>
      </c>
      <c r="L21" s="19">
        <v>800</v>
      </c>
      <c r="M21" s="49" t="str">
        <f ca="1">IF(OR(H21="",H21="–"),"–",IFERROR(IF(H21&lt;L21,"🔴 SL Hit",IF(AND(ISNUMBER(K21),H21&gt;=K21),"✅ T3 Hit",IF(AND(ISNUMBER(J21),H21&gt;=J21),"✅ T2 Hit",IF(AND(ISNUMBER(I21),H21&gt;=I21),"✅ T1 Hit",IF(AND(ISNUMBER(E21),H21&gt;=E21),"🟡 In Buy Zone","📈 Monitoring"))))),"-"))</f>
        <v>–</v>
      </c>
      <c r="N21" s="50" t="str">
        <f ca="1">IF(M21="🟡 In Buy Zone","🔔 BUY NOW!",IF(M21="🔴 SL Hit","⚠️ EXIT NOW!","📊 Monitoring"))</f>
        <v>📊 Monitoring</v>
      </c>
      <c r="O21" s="51" t="s">
        <v>84</v>
      </c>
      <c r="P21" s="52" t="str">
        <f ca="1">IF(OR(ISBLANK(H21),H21="–",H21="N/A",NOT(ISNUMBER(H21)),ISBLANK(E21),E21=0),"–",(H21-E21)/E21)</f>
        <v>–</v>
      </c>
      <c r="Q21" s="53" t="s">
        <v>84</v>
      </c>
      <c r="R21" s="14">
        <v>205</v>
      </c>
      <c r="S21" s="13" t="s">
        <v>64</v>
      </c>
      <c r="T21" s="24" t="s">
        <v>128</v>
      </c>
      <c r="U21" s="14" t="s">
        <v>87</v>
      </c>
    </row>
    <row r="22" spans="1:21" ht="18.75" customHeight="1" x14ac:dyDescent="0.3">
      <c r="A22" s="26">
        <v>18</v>
      </c>
      <c r="B22" s="27" t="s">
        <v>129</v>
      </c>
      <c r="C22" s="28" t="s">
        <v>129</v>
      </c>
      <c r="D22" s="29" t="s">
        <v>130</v>
      </c>
      <c r="E22" s="30">
        <v>170</v>
      </c>
      <c r="F22" s="30">
        <v>170</v>
      </c>
      <c r="G22" s="29" t="s">
        <v>26</v>
      </c>
      <c r="H22" s="16" t="str">
        <f ca="1">IFERROR(googlefinance("NSE:NOCIL","price"),"–")</f>
        <v>–</v>
      </c>
      <c r="I22" s="31">
        <v>180</v>
      </c>
      <c r="J22" s="32">
        <v>185</v>
      </c>
      <c r="K22" s="32">
        <v>200</v>
      </c>
      <c r="L22" s="33">
        <v>160</v>
      </c>
      <c r="M22" s="39" t="s">
        <v>51</v>
      </c>
      <c r="N22" s="39" t="s">
        <v>131</v>
      </c>
      <c r="O22" s="40" t="s">
        <v>53</v>
      </c>
      <c r="P22" s="41">
        <v>5.8824000000000001E-2</v>
      </c>
      <c r="Q22" s="42" t="s">
        <v>54</v>
      </c>
      <c r="R22" s="29">
        <v>30</v>
      </c>
      <c r="S22" s="28" t="s">
        <v>132</v>
      </c>
      <c r="T22" s="37" t="s">
        <v>133</v>
      </c>
      <c r="U22" s="43" t="s">
        <v>134</v>
      </c>
    </row>
    <row r="23" spans="1:21" ht="18.75" customHeight="1" x14ac:dyDescent="0.3">
      <c r="A23" s="11">
        <v>19</v>
      </c>
      <c r="B23" s="12" t="s">
        <v>135</v>
      </c>
      <c r="C23" s="13" t="s">
        <v>136</v>
      </c>
      <c r="D23" s="14" t="s">
        <v>130</v>
      </c>
      <c r="E23" s="15">
        <v>460</v>
      </c>
      <c r="F23" s="15">
        <v>460</v>
      </c>
      <c r="G23" s="14" t="s">
        <v>26</v>
      </c>
      <c r="H23" s="16" t="str">
        <f ca="1">IFERROR(googlefinance("NSE:DLINKINDIA","price"),"–")</f>
        <v>–</v>
      </c>
      <c r="I23" s="17">
        <v>525</v>
      </c>
      <c r="J23" s="18">
        <v>550</v>
      </c>
      <c r="K23" s="18">
        <v>600</v>
      </c>
      <c r="L23" s="19">
        <v>425</v>
      </c>
      <c r="M23" s="49" t="str">
        <f ca="1">IF(OR(H23="",H23="–"),"–",IFERROR(IF(H23&lt;L23,"🔴 SL Hit",IF(AND(ISNUMBER(K23),H23&gt;=K23),"✅ T3 Hit",IF(AND(ISNUMBER(J23),H23&gt;=J23),"✅ T2 Hit",IF(AND(ISNUMBER(I23),H23&gt;=I23),"✅ T1 Hit",IF(AND(ISNUMBER(E23),H23&gt;=E23),"🟡 In Buy Zone","📈 Monitoring"))))),"-"))</f>
        <v>–</v>
      </c>
      <c r="N23" s="50" t="str">
        <f ca="1">IF(M23="🟡 In Buy Zone","🔔 BUY NOW!",IF(M23="🔴 SL Hit","⚠️ EXIT NOW!","📊 Monitoring"))</f>
        <v>📊 Monitoring</v>
      </c>
      <c r="O23" s="51" t="s">
        <v>84</v>
      </c>
      <c r="P23" s="52" t="str">
        <f ca="1">IF(OR(ISBLANK(H23),H23="–",H23="N/A",NOT(ISNUMBER(H23)),ISBLANK(E23),E23=0),"–",(H23-E23)/E23)</f>
        <v>–</v>
      </c>
      <c r="Q23" s="53" t="s">
        <v>84</v>
      </c>
      <c r="R23" s="14">
        <v>204</v>
      </c>
      <c r="S23" s="13" t="s">
        <v>137</v>
      </c>
      <c r="T23" s="24" t="s">
        <v>138</v>
      </c>
      <c r="U23" s="14" t="s">
        <v>87</v>
      </c>
    </row>
    <row r="24" spans="1:21" ht="18.75" customHeight="1" x14ac:dyDescent="0.3">
      <c r="A24" s="26">
        <v>20</v>
      </c>
      <c r="B24" s="27" t="s">
        <v>139</v>
      </c>
      <c r="C24" s="28" t="s">
        <v>140</v>
      </c>
      <c r="D24" s="29" t="s">
        <v>141</v>
      </c>
      <c r="E24" s="30">
        <v>2500</v>
      </c>
      <c r="F24" s="30">
        <v>2500</v>
      </c>
      <c r="G24" s="29" t="s">
        <v>26</v>
      </c>
      <c r="H24" s="16" t="str">
        <f ca="1">IFERROR(googlefinance("NSE:BSE","price"),"–")</f>
        <v>–</v>
      </c>
      <c r="I24" s="31">
        <v>2750</v>
      </c>
      <c r="J24" s="32">
        <v>3000</v>
      </c>
      <c r="K24" s="32">
        <v>3905</v>
      </c>
      <c r="L24" s="33">
        <v>225</v>
      </c>
      <c r="M24" s="39" t="s">
        <v>61</v>
      </c>
      <c r="N24" s="39" t="s">
        <v>142</v>
      </c>
      <c r="O24" s="40" t="s">
        <v>53</v>
      </c>
      <c r="P24" s="41">
        <v>0.56200000000000006</v>
      </c>
      <c r="Q24" s="42" t="s">
        <v>63</v>
      </c>
      <c r="R24" s="29">
        <v>60</v>
      </c>
      <c r="S24" s="28" t="s">
        <v>97</v>
      </c>
      <c r="T24" s="37" t="s">
        <v>143</v>
      </c>
      <c r="U24" s="43" t="s">
        <v>144</v>
      </c>
    </row>
    <row r="25" spans="1:21" ht="18.75" customHeight="1" x14ac:dyDescent="0.3">
      <c r="A25" s="11">
        <v>21</v>
      </c>
      <c r="B25" s="12" t="s">
        <v>145</v>
      </c>
      <c r="C25" s="13" t="s">
        <v>145</v>
      </c>
      <c r="D25" s="14" t="s">
        <v>146</v>
      </c>
      <c r="E25" s="15">
        <v>140</v>
      </c>
      <c r="F25" s="15">
        <v>140</v>
      </c>
      <c r="G25" s="14" t="s">
        <v>26</v>
      </c>
      <c r="H25" s="16" t="str">
        <f ca="1">IFERROR(googlefinance("NSE:MRPL","price"),"–")</f>
        <v>–</v>
      </c>
      <c r="I25" s="17">
        <v>167</v>
      </c>
      <c r="J25" s="18">
        <v>180</v>
      </c>
      <c r="K25" s="18">
        <v>190</v>
      </c>
      <c r="L25" s="19">
        <v>125</v>
      </c>
      <c r="M25" s="44" t="s">
        <v>51</v>
      </c>
      <c r="N25" s="44" t="s">
        <v>147</v>
      </c>
      <c r="O25" s="40" t="s">
        <v>53</v>
      </c>
      <c r="P25" s="45">
        <v>0.192857</v>
      </c>
      <c r="Q25" s="46" t="s">
        <v>54</v>
      </c>
      <c r="R25" s="14">
        <v>30</v>
      </c>
      <c r="S25" s="13" t="s">
        <v>148</v>
      </c>
      <c r="T25" s="24" t="s">
        <v>149</v>
      </c>
      <c r="U25" s="47" t="s">
        <v>150</v>
      </c>
    </row>
    <row r="26" spans="1:21" ht="18.75" customHeight="1" x14ac:dyDescent="0.3">
      <c r="A26" s="26">
        <v>22</v>
      </c>
      <c r="B26" s="27" t="s">
        <v>151</v>
      </c>
      <c r="C26" s="28" t="s">
        <v>152</v>
      </c>
      <c r="D26" s="29" t="s">
        <v>153</v>
      </c>
      <c r="E26" s="30">
        <v>15</v>
      </c>
      <c r="F26" s="30">
        <v>15</v>
      </c>
      <c r="G26" s="29" t="s">
        <v>26</v>
      </c>
      <c r="H26" s="16" t="str">
        <f ca="1">IFERROR(googlefinance("NSE:UTKARSHBNK","price"),"–")</f>
        <v>–</v>
      </c>
      <c r="I26" s="31">
        <v>16</v>
      </c>
      <c r="J26" s="32">
        <v>17</v>
      </c>
      <c r="K26" s="32">
        <v>18</v>
      </c>
      <c r="L26" s="33">
        <v>12.5</v>
      </c>
      <c r="M26" s="54" t="str">
        <f ca="1">IF(OR(H26="",H26="–"),"–",IFERROR(IF(H26&lt;L26,"🔴 SL Hit",IF(AND(ISNUMBER(K26),H26&gt;=K26),"✅ T3 Hit",IF(AND(ISNUMBER(J26),H26&gt;=J26),"✅ T2 Hit",IF(AND(ISNUMBER(I26),H26&gt;=I26),"✅ T1 Hit",IF(AND(ISNUMBER(E26),H26&gt;=E26),"🟡 In Buy Zone","📈 Monitoring"))))),"-"))</f>
        <v>–</v>
      </c>
      <c r="N26" s="55" t="str">
        <f ca="1">IF(M26="🟡 In Buy Zone","🔔 BUY NOW!",IF(M26="🔴 SL Hit","⚠️ EXIT NOW!","📊 Monitoring"))</f>
        <v>📊 Monitoring</v>
      </c>
      <c r="O26" s="51" t="s">
        <v>84</v>
      </c>
      <c r="P26" s="56" t="str">
        <f ca="1">IF(OR(ISBLANK(H26),H26="–",H26="N/A",NOT(ISNUMBER(H26)),ISBLANK(E26),E26=0),"–",(H26-E26)/E26)</f>
        <v>–</v>
      </c>
      <c r="Q26" s="57" t="s">
        <v>84</v>
      </c>
      <c r="R26" s="29">
        <v>196</v>
      </c>
      <c r="S26" s="28" t="s">
        <v>31</v>
      </c>
      <c r="T26" s="37" t="s">
        <v>154</v>
      </c>
      <c r="U26" s="29" t="s">
        <v>87</v>
      </c>
    </row>
    <row r="27" spans="1:21" ht="18.75" customHeight="1" x14ac:dyDescent="0.3">
      <c r="A27" s="11">
        <v>23</v>
      </c>
      <c r="B27" s="12" t="s">
        <v>155</v>
      </c>
      <c r="C27" s="13" t="s">
        <v>156</v>
      </c>
      <c r="D27" s="14" t="s">
        <v>157</v>
      </c>
      <c r="E27" s="15">
        <v>60</v>
      </c>
      <c r="F27" s="15">
        <v>60</v>
      </c>
      <c r="G27" s="14" t="s">
        <v>26</v>
      </c>
      <c r="H27" s="16" t="str">
        <f ca="1">IFERROR(googlefinance("NSE:ASIANTILES","price"),"–")</f>
        <v>–</v>
      </c>
      <c r="I27" s="17">
        <v>70</v>
      </c>
      <c r="J27" s="18">
        <v>75</v>
      </c>
      <c r="K27" s="48" t="s">
        <v>83</v>
      </c>
      <c r="L27" s="19">
        <v>55</v>
      </c>
      <c r="M27" s="49" t="str">
        <f ca="1">IF(OR(H27="",H27="–"),"–",IFERROR(IF(H27&lt;L27,"🔴 SL Hit",IF(AND(ISNUMBER(K27),H27&gt;=K27),"✅ T3 Hit",IF(AND(ISNUMBER(J27),H27&gt;=J27),"✅ T2 Hit",IF(AND(ISNUMBER(I27),H27&gt;=I27),"✅ T1 Hit",IF(AND(ISNUMBER(E27),H27&gt;=E27),"🟡 In Buy Zone","📈 Monitoring"))))),"-"))</f>
        <v>–</v>
      </c>
      <c r="N27" s="50" t="str">
        <f ca="1">IF(M27="🟡 In Buy Zone","🔔 BUY NOW!",IF(M27="🔴 SL Hit","⚠️ EXIT NOW!","📊 Monitoring"))</f>
        <v>📊 Monitoring</v>
      </c>
      <c r="O27" s="51" t="s">
        <v>84</v>
      </c>
      <c r="P27" s="52" t="str">
        <f ca="1">IF(OR(ISBLANK(H27),H27="–",H27="N/A",NOT(ISNUMBER(H27)),ISBLANK(E27),E27=0),"–",(H27-E27)/E27)</f>
        <v>–</v>
      </c>
      <c r="Q27" s="53" t="s">
        <v>84</v>
      </c>
      <c r="R27" s="14">
        <v>193</v>
      </c>
      <c r="S27" s="13" t="s">
        <v>158</v>
      </c>
      <c r="T27" s="24" t="s">
        <v>159</v>
      </c>
      <c r="U27" s="14" t="s">
        <v>87</v>
      </c>
    </row>
    <row r="28" spans="1:21" ht="18.75" customHeight="1" x14ac:dyDescent="0.3">
      <c r="A28" s="26">
        <v>24</v>
      </c>
      <c r="B28" s="27" t="s">
        <v>160</v>
      </c>
      <c r="C28" s="28" t="s">
        <v>160</v>
      </c>
      <c r="D28" s="29" t="s">
        <v>161</v>
      </c>
      <c r="E28" s="30">
        <v>150</v>
      </c>
      <c r="F28" s="30">
        <v>150</v>
      </c>
      <c r="G28" s="29" t="s">
        <v>26</v>
      </c>
      <c r="H28" s="16" t="str">
        <f ca="1">IFERROR(googlefinance("NSE:RATNAVEER","price"),"–")</f>
        <v>–</v>
      </c>
      <c r="I28" s="31">
        <v>175</v>
      </c>
      <c r="J28" s="32">
        <v>180</v>
      </c>
      <c r="K28" s="32">
        <v>190</v>
      </c>
      <c r="L28" s="33">
        <v>135</v>
      </c>
      <c r="M28" s="39" t="s">
        <v>51</v>
      </c>
      <c r="N28" s="39" t="s">
        <v>162</v>
      </c>
      <c r="O28" s="40" t="s">
        <v>53</v>
      </c>
      <c r="P28" s="41">
        <v>0.16666700000000001</v>
      </c>
      <c r="Q28" s="42" t="s">
        <v>54</v>
      </c>
      <c r="R28" s="29">
        <v>30</v>
      </c>
      <c r="S28" s="28" t="s">
        <v>75</v>
      </c>
      <c r="T28" s="37" t="s">
        <v>163</v>
      </c>
      <c r="U28" s="43" t="s">
        <v>164</v>
      </c>
    </row>
    <row r="29" spans="1:21" ht="18.75" customHeight="1" x14ac:dyDescent="0.3">
      <c r="A29" s="11">
        <v>25</v>
      </c>
      <c r="B29" s="12" t="s">
        <v>165</v>
      </c>
      <c r="C29" s="13" t="s">
        <v>165</v>
      </c>
      <c r="D29" s="14" t="s">
        <v>161</v>
      </c>
      <c r="E29" s="15">
        <v>150</v>
      </c>
      <c r="F29" s="15">
        <v>150</v>
      </c>
      <c r="G29" s="14" t="s">
        <v>26</v>
      </c>
      <c r="H29" s="16" t="str">
        <f ca="1">IFERROR(googlefinance("NSE:SATIN","price"),"–")</f>
        <v>–</v>
      </c>
      <c r="I29" s="17">
        <v>170</v>
      </c>
      <c r="J29" s="18">
        <v>190</v>
      </c>
      <c r="K29" s="18">
        <v>210</v>
      </c>
      <c r="L29" s="19">
        <v>130</v>
      </c>
      <c r="M29" s="44" t="s">
        <v>61</v>
      </c>
      <c r="N29" s="44" t="s">
        <v>166</v>
      </c>
      <c r="O29" s="40" t="s">
        <v>53</v>
      </c>
      <c r="P29" s="45">
        <v>0.4</v>
      </c>
      <c r="Q29" s="46" t="s">
        <v>63</v>
      </c>
      <c r="R29" s="14">
        <v>60</v>
      </c>
      <c r="S29" s="13" t="s">
        <v>64</v>
      </c>
      <c r="T29" s="24" t="s">
        <v>167</v>
      </c>
      <c r="U29" s="47" t="s">
        <v>168</v>
      </c>
    </row>
    <row r="30" spans="1:21" ht="18.75" customHeight="1" x14ac:dyDescent="0.3">
      <c r="A30" s="26">
        <v>26</v>
      </c>
      <c r="B30" s="27" t="s">
        <v>169</v>
      </c>
      <c r="C30" s="28" t="s">
        <v>170</v>
      </c>
      <c r="D30" s="29" t="s">
        <v>171</v>
      </c>
      <c r="E30" s="30">
        <v>550</v>
      </c>
      <c r="F30" s="30">
        <v>550</v>
      </c>
      <c r="G30" s="29" t="s">
        <v>26</v>
      </c>
      <c r="H30" s="16" t="str">
        <f ca="1">IFERROR(googlefinance("NSE:PRICOLLTD","price"),"–")</f>
        <v>–</v>
      </c>
      <c r="I30" s="31">
        <v>600</v>
      </c>
      <c r="J30" s="32">
        <v>625</v>
      </c>
      <c r="K30" s="32">
        <v>700</v>
      </c>
      <c r="L30" s="33">
        <v>500</v>
      </c>
      <c r="M30" s="39" t="s">
        <v>51</v>
      </c>
      <c r="N30" s="39" t="s">
        <v>172</v>
      </c>
      <c r="O30" s="40" t="s">
        <v>53</v>
      </c>
      <c r="P30" s="41">
        <v>9.0909000000000004E-2</v>
      </c>
      <c r="Q30" s="42" t="s">
        <v>54</v>
      </c>
      <c r="R30" s="29">
        <v>30</v>
      </c>
      <c r="S30" s="28" t="s">
        <v>173</v>
      </c>
      <c r="T30" s="37" t="s">
        <v>174</v>
      </c>
      <c r="U30" s="43" t="s">
        <v>107</v>
      </c>
    </row>
    <row r="31" spans="1:21" ht="18.75" customHeight="1" x14ac:dyDescent="0.3">
      <c r="A31" s="11">
        <v>27</v>
      </c>
      <c r="B31" s="12" t="s">
        <v>175</v>
      </c>
      <c r="C31" s="13" t="s">
        <v>176</v>
      </c>
      <c r="D31" s="14" t="s">
        <v>177</v>
      </c>
      <c r="E31" s="15">
        <v>90</v>
      </c>
      <c r="F31" s="15">
        <v>90</v>
      </c>
      <c r="G31" s="14" t="s">
        <v>26</v>
      </c>
      <c r="H31" s="16" t="str">
        <f ca="1">IFERROR(googlefinance("NSE:JAMNAAUTO","price"),"–")</f>
        <v>–</v>
      </c>
      <c r="I31" s="17">
        <v>115</v>
      </c>
      <c r="J31" s="18">
        <v>125</v>
      </c>
      <c r="K31" s="18">
        <v>131</v>
      </c>
      <c r="L31" s="19">
        <v>85</v>
      </c>
      <c r="M31" s="44" t="s">
        <v>61</v>
      </c>
      <c r="N31" s="44" t="s">
        <v>178</v>
      </c>
      <c r="O31" s="40" t="s">
        <v>53</v>
      </c>
      <c r="P31" s="45">
        <v>0.45555600000000002</v>
      </c>
      <c r="Q31" s="46" t="s">
        <v>63</v>
      </c>
      <c r="R31" s="14">
        <v>60</v>
      </c>
      <c r="S31" s="13" t="s">
        <v>173</v>
      </c>
      <c r="T31" s="24" t="s">
        <v>179</v>
      </c>
      <c r="U31" s="47" t="s">
        <v>180</v>
      </c>
    </row>
    <row r="32" spans="1:21" ht="18.75" customHeight="1" x14ac:dyDescent="0.3">
      <c r="A32" s="26">
        <v>28</v>
      </c>
      <c r="B32" s="27" t="s">
        <v>181</v>
      </c>
      <c r="C32" s="28" t="s">
        <v>181</v>
      </c>
      <c r="D32" s="29" t="s">
        <v>182</v>
      </c>
      <c r="E32" s="30">
        <v>2750</v>
      </c>
      <c r="F32" s="30">
        <v>2750</v>
      </c>
      <c r="G32" s="29" t="s">
        <v>26</v>
      </c>
      <c r="H32" s="16" t="str">
        <f ca="1">IFERROR(googlefinance("NSE:GRASIM","price"),"–")</f>
        <v>–</v>
      </c>
      <c r="I32" s="31">
        <v>2850</v>
      </c>
      <c r="J32" s="32">
        <v>2950</v>
      </c>
      <c r="K32" s="32">
        <v>3250</v>
      </c>
      <c r="L32" s="33">
        <v>2500</v>
      </c>
      <c r="M32" s="39" t="s">
        <v>103</v>
      </c>
      <c r="N32" s="39" t="s">
        <v>183</v>
      </c>
      <c r="O32" s="40" t="s">
        <v>53</v>
      </c>
      <c r="P32" s="41">
        <v>7.2727E-2</v>
      </c>
      <c r="Q32" s="42" t="s">
        <v>105</v>
      </c>
      <c r="R32" s="29">
        <v>45</v>
      </c>
      <c r="S32" s="28" t="s">
        <v>110</v>
      </c>
      <c r="T32" s="37" t="s">
        <v>184</v>
      </c>
      <c r="U32" s="43" t="s">
        <v>185</v>
      </c>
    </row>
    <row r="33" spans="1:21" ht="18.75" customHeight="1" x14ac:dyDescent="0.3">
      <c r="A33" s="11">
        <v>29</v>
      </c>
      <c r="B33" s="12" t="s">
        <v>186</v>
      </c>
      <c r="C33" s="13" t="s">
        <v>187</v>
      </c>
      <c r="D33" s="14" t="s">
        <v>182</v>
      </c>
      <c r="E33" s="15">
        <v>1000</v>
      </c>
      <c r="F33" s="15">
        <v>1000</v>
      </c>
      <c r="G33" s="14" t="s">
        <v>26</v>
      </c>
      <c r="H33" s="16" t="str">
        <f ca="1">IFERROR(googlefinance("NSE:PVRINOX","price"),"–")</f>
        <v>–</v>
      </c>
      <c r="I33" s="17">
        <v>1100</v>
      </c>
      <c r="J33" s="18">
        <v>1200</v>
      </c>
      <c r="K33" s="18">
        <v>1500</v>
      </c>
      <c r="L33" s="19">
        <v>950</v>
      </c>
      <c r="M33" s="49" t="str">
        <f ca="1">IF(OR(H33="",H33="–"),"–",IFERROR(IF(H33&lt;L33,"🔴 SL Hit",IF(AND(ISNUMBER(K33),H33&gt;=K33),"✅ T3 Hit",IF(AND(ISNUMBER(J33),H33&gt;=J33),"✅ T2 Hit",IF(AND(ISNUMBER(I33),H33&gt;=I33),"✅ T1 Hit",IF(AND(ISNUMBER(E33),H33&gt;=E33),"🟡 In Buy Zone","📈 Monitoring"))))),"-"))</f>
        <v>–</v>
      </c>
      <c r="N33" s="50" t="str">
        <f ca="1">IF(M33="🟡 In Buy Zone","🔔 BUY NOW!",IF(M33="🔴 SL Hit","⚠️ EXIT NOW!","📊 Monitoring"))</f>
        <v>📊 Monitoring</v>
      </c>
      <c r="O33" s="51" t="s">
        <v>84</v>
      </c>
      <c r="P33" s="52" t="str">
        <f ca="1">IF(OR(ISBLANK(H33),H33="–",H33="N/A",NOT(ISNUMBER(H33)),ISBLANK(E33),E33=0),"–",(H33-E33)/E33)</f>
        <v>–</v>
      </c>
      <c r="Q33" s="53" t="s">
        <v>84</v>
      </c>
      <c r="R33" s="14">
        <v>186</v>
      </c>
      <c r="S33" s="13" t="s">
        <v>188</v>
      </c>
      <c r="T33" s="24" t="s">
        <v>189</v>
      </c>
      <c r="U33" s="14" t="s">
        <v>87</v>
      </c>
    </row>
    <row r="34" spans="1:21" ht="18.75" customHeight="1" x14ac:dyDescent="0.3">
      <c r="A34" s="26">
        <v>30</v>
      </c>
      <c r="B34" s="27" t="s">
        <v>190</v>
      </c>
      <c r="C34" s="28" t="s">
        <v>190</v>
      </c>
      <c r="D34" s="29" t="s">
        <v>191</v>
      </c>
      <c r="E34" s="30">
        <v>3800</v>
      </c>
      <c r="F34" s="30">
        <v>3800</v>
      </c>
      <c r="G34" s="29" t="s">
        <v>26</v>
      </c>
      <c r="H34" s="16" t="str">
        <f ca="1">IFERROR(googlefinance("NSE:TITAN","price"),"–")</f>
        <v>–</v>
      </c>
      <c r="I34" s="31">
        <v>4200</v>
      </c>
      <c r="J34" s="32">
        <v>4400</v>
      </c>
      <c r="K34" s="32">
        <v>4500</v>
      </c>
      <c r="L34" s="33">
        <v>450</v>
      </c>
      <c r="M34" s="39" t="s">
        <v>61</v>
      </c>
      <c r="N34" s="39" t="s">
        <v>192</v>
      </c>
      <c r="O34" s="40" t="s">
        <v>53</v>
      </c>
      <c r="P34" s="41">
        <v>0.18421100000000001</v>
      </c>
      <c r="Q34" s="42" t="s">
        <v>63</v>
      </c>
      <c r="R34" s="29">
        <v>60</v>
      </c>
      <c r="S34" s="28" t="s">
        <v>158</v>
      </c>
      <c r="T34" s="37" t="s">
        <v>193</v>
      </c>
      <c r="U34" s="43" t="s">
        <v>194</v>
      </c>
    </row>
    <row r="35" spans="1:21" ht="18.75" customHeight="1" x14ac:dyDescent="0.3">
      <c r="A35" s="11">
        <v>31</v>
      </c>
      <c r="B35" s="12" t="s">
        <v>195</v>
      </c>
      <c r="C35" s="13" t="s">
        <v>195</v>
      </c>
      <c r="D35" s="14" t="s">
        <v>191</v>
      </c>
      <c r="E35" s="15">
        <v>1800</v>
      </c>
      <c r="F35" s="15">
        <v>1800</v>
      </c>
      <c r="G35" s="14" t="s">
        <v>26</v>
      </c>
      <c r="H35" s="16" t="str">
        <f ca="1">IFERROR(googlefinance("NSE:BBTC","price"),"–")</f>
        <v>–</v>
      </c>
      <c r="I35" s="17">
        <v>2000</v>
      </c>
      <c r="J35" s="18">
        <v>2100</v>
      </c>
      <c r="K35" s="48" t="s">
        <v>83</v>
      </c>
      <c r="L35" s="19">
        <v>1600</v>
      </c>
      <c r="M35" s="20" t="s">
        <v>27</v>
      </c>
      <c r="N35" s="20" t="s">
        <v>196</v>
      </c>
      <c r="O35" s="21" t="s">
        <v>29</v>
      </c>
      <c r="P35" s="22">
        <v>-0.111111</v>
      </c>
      <c r="Q35" s="23" t="s">
        <v>30</v>
      </c>
      <c r="R35" s="14">
        <v>15</v>
      </c>
      <c r="S35" s="13" t="s">
        <v>197</v>
      </c>
      <c r="T35" s="24" t="s">
        <v>198</v>
      </c>
      <c r="U35" s="25" t="s">
        <v>199</v>
      </c>
    </row>
    <row r="36" spans="1:21" ht="18.75" customHeight="1" x14ac:dyDescent="0.3">
      <c r="A36" s="26">
        <v>32</v>
      </c>
      <c r="B36" s="27" t="s">
        <v>200</v>
      </c>
      <c r="C36" s="28" t="s">
        <v>200</v>
      </c>
      <c r="D36" s="29" t="s">
        <v>201</v>
      </c>
      <c r="E36" s="30">
        <v>270</v>
      </c>
      <c r="F36" s="30">
        <v>270</v>
      </c>
      <c r="G36" s="29" t="s">
        <v>26</v>
      </c>
      <c r="H36" s="16" t="str">
        <f ca="1">IFERROR(googlefinance("NSE:AWL","price"),"–")</f>
        <v>–</v>
      </c>
      <c r="I36" s="31">
        <v>300</v>
      </c>
      <c r="J36" s="58" t="s">
        <v>83</v>
      </c>
      <c r="K36" s="58" t="s">
        <v>83</v>
      </c>
      <c r="L36" s="33">
        <v>260</v>
      </c>
      <c r="M36" s="34" t="s">
        <v>27</v>
      </c>
      <c r="N36" s="34" t="s">
        <v>202</v>
      </c>
      <c r="O36" s="21" t="s">
        <v>29</v>
      </c>
      <c r="P36" s="35">
        <v>-3.7037E-2</v>
      </c>
      <c r="Q36" s="36" t="s">
        <v>30</v>
      </c>
      <c r="R36" s="29">
        <v>15</v>
      </c>
      <c r="S36" s="28" t="s">
        <v>203</v>
      </c>
      <c r="T36" s="37" t="s">
        <v>204</v>
      </c>
      <c r="U36" s="38" t="s">
        <v>150</v>
      </c>
    </row>
    <row r="37" spans="1:21" ht="18.75" customHeight="1" x14ac:dyDescent="0.3">
      <c r="A37" s="11">
        <v>33</v>
      </c>
      <c r="B37" s="12" t="s">
        <v>205</v>
      </c>
      <c r="C37" s="13" t="s">
        <v>205</v>
      </c>
      <c r="D37" s="14" t="s">
        <v>206</v>
      </c>
      <c r="E37" s="15">
        <v>1750</v>
      </c>
      <c r="F37" s="15">
        <v>1750</v>
      </c>
      <c r="G37" s="14" t="s">
        <v>26</v>
      </c>
      <c r="H37" s="16" t="str">
        <f ca="1">IFERROR(googlefinance("NSE:POLYMED","price"),"–")</f>
        <v>–</v>
      </c>
      <c r="I37" s="17">
        <v>2000</v>
      </c>
      <c r="J37" s="18">
        <v>2200</v>
      </c>
      <c r="K37" s="18">
        <v>2400</v>
      </c>
      <c r="L37" s="19">
        <v>1600</v>
      </c>
      <c r="M37" s="44" t="s">
        <v>207</v>
      </c>
      <c r="N37" s="44" t="s">
        <v>208</v>
      </c>
      <c r="O37" s="40" t="s">
        <v>53</v>
      </c>
      <c r="P37" s="22">
        <v>0</v>
      </c>
      <c r="Q37" s="46" t="s">
        <v>209</v>
      </c>
      <c r="R37" s="14">
        <v>30</v>
      </c>
      <c r="S37" s="13" t="s">
        <v>210</v>
      </c>
      <c r="T37" s="24" t="s">
        <v>211</v>
      </c>
      <c r="U37" s="47" t="s">
        <v>212</v>
      </c>
    </row>
    <row r="38" spans="1:21" ht="18.75" customHeight="1" x14ac:dyDescent="0.3">
      <c r="A38" s="26">
        <v>34</v>
      </c>
      <c r="B38" s="27" t="s">
        <v>213</v>
      </c>
      <c r="C38" s="28" t="s">
        <v>213</v>
      </c>
      <c r="D38" s="29" t="s">
        <v>206</v>
      </c>
      <c r="E38" s="30">
        <v>650</v>
      </c>
      <c r="F38" s="30">
        <v>650</v>
      </c>
      <c r="G38" s="29" t="s">
        <v>26</v>
      </c>
      <c r="H38" s="16" t="str">
        <f ca="1">IFERROR(googlefinance("NSE:YATHARTH","price"),"–")</f>
        <v>–</v>
      </c>
      <c r="I38" s="31">
        <v>850</v>
      </c>
      <c r="J38" s="32">
        <v>950</v>
      </c>
      <c r="K38" s="32">
        <v>1100</v>
      </c>
      <c r="L38" s="33">
        <v>600</v>
      </c>
      <c r="M38" s="39" t="s">
        <v>51</v>
      </c>
      <c r="N38" s="39" t="s">
        <v>214</v>
      </c>
      <c r="O38" s="40" t="s">
        <v>53</v>
      </c>
      <c r="P38" s="41">
        <v>0.30769200000000002</v>
      </c>
      <c r="Q38" s="42" t="s">
        <v>54</v>
      </c>
      <c r="R38" s="29">
        <v>30</v>
      </c>
      <c r="S38" s="28" t="s">
        <v>210</v>
      </c>
      <c r="T38" s="37" t="s">
        <v>215</v>
      </c>
      <c r="U38" s="43" t="s">
        <v>212</v>
      </c>
    </row>
    <row r="39" spans="1:21" ht="18.75" customHeight="1" x14ac:dyDescent="0.3">
      <c r="A39" s="11">
        <v>35</v>
      </c>
      <c r="B39" s="12" t="s">
        <v>216</v>
      </c>
      <c r="C39" s="13" t="s">
        <v>217</v>
      </c>
      <c r="D39" s="14" t="s">
        <v>206</v>
      </c>
      <c r="E39" s="15">
        <v>94</v>
      </c>
      <c r="F39" s="15">
        <v>94</v>
      </c>
      <c r="G39" s="14" t="s">
        <v>26</v>
      </c>
      <c r="H39" s="16" t="str">
        <f ca="1">IFERROR(googlefinance("NSE:GMRAIRPORT","price"),"–")</f>
        <v>–</v>
      </c>
      <c r="I39" s="17">
        <v>105</v>
      </c>
      <c r="J39" s="18">
        <v>110</v>
      </c>
      <c r="K39" s="18">
        <v>115</v>
      </c>
      <c r="L39" s="19">
        <v>90</v>
      </c>
      <c r="M39" s="44" t="s">
        <v>51</v>
      </c>
      <c r="N39" s="44" t="s">
        <v>218</v>
      </c>
      <c r="O39" s="40" t="s">
        <v>53</v>
      </c>
      <c r="P39" s="45">
        <v>0.117021</v>
      </c>
      <c r="Q39" s="46" t="s">
        <v>54</v>
      </c>
      <c r="R39" s="14">
        <v>30</v>
      </c>
      <c r="S39" s="13" t="s">
        <v>219</v>
      </c>
      <c r="T39" s="24" t="s">
        <v>220</v>
      </c>
      <c r="U39" s="47" t="s">
        <v>212</v>
      </c>
    </row>
    <row r="40" spans="1:21" ht="18.75" customHeight="1" x14ac:dyDescent="0.3">
      <c r="A40" s="26">
        <v>36</v>
      </c>
      <c r="B40" s="27" t="s">
        <v>221</v>
      </c>
      <c r="C40" s="28" t="s">
        <v>221</v>
      </c>
      <c r="D40" s="29" t="s">
        <v>222</v>
      </c>
      <c r="E40" s="30">
        <v>2800</v>
      </c>
      <c r="F40" s="30">
        <v>2800</v>
      </c>
      <c r="G40" s="29" t="s">
        <v>26</v>
      </c>
      <c r="H40" s="16" t="str">
        <f ca="1">IFERROR(googlefinance("NSE:GRSE","price"),"–")</f>
        <v>–</v>
      </c>
      <c r="I40" s="31">
        <v>3000</v>
      </c>
      <c r="J40" s="32">
        <v>3200</v>
      </c>
      <c r="K40" s="58" t="s">
        <v>83</v>
      </c>
      <c r="L40" s="33">
        <v>2750</v>
      </c>
      <c r="M40" s="39" t="s">
        <v>51</v>
      </c>
      <c r="N40" s="39" t="s">
        <v>223</v>
      </c>
      <c r="O40" s="40" t="s">
        <v>53</v>
      </c>
      <c r="P40" s="41">
        <v>7.1429000000000006E-2</v>
      </c>
      <c r="Q40" s="42" t="s">
        <v>54</v>
      </c>
      <c r="R40" s="29">
        <v>30</v>
      </c>
      <c r="S40" s="28" t="s">
        <v>224</v>
      </c>
      <c r="T40" s="37" t="s">
        <v>225</v>
      </c>
      <c r="U40" s="43" t="s">
        <v>112</v>
      </c>
    </row>
    <row r="41" spans="1:21" ht="18.75" customHeight="1" x14ac:dyDescent="0.3">
      <c r="A41" s="11">
        <v>37</v>
      </c>
      <c r="B41" s="12" t="s">
        <v>226</v>
      </c>
      <c r="C41" s="13" t="s">
        <v>227</v>
      </c>
      <c r="D41" s="14" t="s">
        <v>228</v>
      </c>
      <c r="E41" s="15">
        <v>180</v>
      </c>
      <c r="F41" s="15">
        <v>180</v>
      </c>
      <c r="G41" s="14" t="s">
        <v>26</v>
      </c>
      <c r="H41" s="16" t="str">
        <f ca="1">IFERROR(googlefinance("NSE:PPLPHARMA","price"),"–")</f>
        <v>–</v>
      </c>
      <c r="I41" s="17">
        <v>200</v>
      </c>
      <c r="J41" s="18">
        <v>210</v>
      </c>
      <c r="K41" s="18">
        <v>240</v>
      </c>
      <c r="L41" s="19">
        <v>178</v>
      </c>
      <c r="M41" s="49" t="str">
        <f ca="1">IF(OR(H41="",H41="–"),"–",IFERROR(IF(H41&lt;L41,"🔴 SL Hit",IF(AND(ISNUMBER(K41),H41&gt;=K41),"✅ T3 Hit",IF(AND(ISNUMBER(J41),H41&gt;=J41),"✅ T2 Hit",IF(AND(ISNUMBER(I41),H41&gt;=I41),"✅ T1 Hit",IF(AND(ISNUMBER(E41),H41&gt;=E41),"🟡 In Buy Zone","📈 Monitoring"))))),"-"))</f>
        <v>–</v>
      </c>
      <c r="N41" s="50" t="str">
        <f ca="1">IF(M41="🟡 In Buy Zone","🔔 BUY NOW!",IF(M41="🔴 SL Hit","⚠️ EXIT NOW!","📊 Monitoring"))</f>
        <v>📊 Monitoring</v>
      </c>
      <c r="O41" s="51" t="s">
        <v>84</v>
      </c>
      <c r="P41" s="52" t="str">
        <f ca="1">IF(OR(ISBLANK(H41),H41="–",H41="N/A",NOT(ISNUMBER(H41)),ISBLANK(E41),E41=0),"–",(H41-E41)/E41)</f>
        <v>–</v>
      </c>
      <c r="Q41" s="53" t="s">
        <v>84</v>
      </c>
      <c r="R41" s="14">
        <v>175</v>
      </c>
      <c r="S41" s="13" t="s">
        <v>55</v>
      </c>
      <c r="T41" s="24" t="s">
        <v>229</v>
      </c>
      <c r="U41" s="14" t="s">
        <v>87</v>
      </c>
    </row>
    <row r="42" spans="1:21" ht="18.75" customHeight="1" x14ac:dyDescent="0.3">
      <c r="A42" s="26">
        <v>38</v>
      </c>
      <c r="B42" s="27" t="s">
        <v>230</v>
      </c>
      <c r="C42" s="28" t="s">
        <v>230</v>
      </c>
      <c r="D42" s="29" t="s">
        <v>231</v>
      </c>
      <c r="E42" s="30">
        <v>480</v>
      </c>
      <c r="F42" s="30">
        <v>480</v>
      </c>
      <c r="G42" s="29" t="s">
        <v>26</v>
      </c>
      <c r="H42" s="16" t="str">
        <f ca="1">IFERROR(googlefinance("NSE:VBL","price"),"–")</f>
        <v>–</v>
      </c>
      <c r="I42" s="31">
        <v>500</v>
      </c>
      <c r="J42" s="32">
        <v>520</v>
      </c>
      <c r="K42" s="32">
        <v>600</v>
      </c>
      <c r="L42" s="33">
        <v>450</v>
      </c>
      <c r="M42" s="39" t="s">
        <v>51</v>
      </c>
      <c r="N42" s="39" t="s">
        <v>232</v>
      </c>
      <c r="O42" s="40" t="s">
        <v>53</v>
      </c>
      <c r="P42" s="41">
        <v>4.1667000000000003E-2</v>
      </c>
      <c r="Q42" s="42" t="s">
        <v>54</v>
      </c>
      <c r="R42" s="29">
        <v>30</v>
      </c>
      <c r="S42" s="28" t="s">
        <v>158</v>
      </c>
      <c r="T42" s="37" t="s">
        <v>233</v>
      </c>
      <c r="U42" s="43" t="s">
        <v>234</v>
      </c>
    </row>
    <row r="43" spans="1:21" ht="18.75" customHeight="1" x14ac:dyDescent="0.3">
      <c r="A43" s="11">
        <v>39</v>
      </c>
      <c r="B43" s="12" t="s">
        <v>235</v>
      </c>
      <c r="C43" s="13" t="s">
        <v>235</v>
      </c>
      <c r="D43" s="14" t="s">
        <v>236</v>
      </c>
      <c r="E43" s="15">
        <v>114</v>
      </c>
      <c r="F43" s="15">
        <v>114</v>
      </c>
      <c r="G43" s="14" t="s">
        <v>26</v>
      </c>
      <c r="H43" s="16" t="str">
        <f ca="1">IFERROR(googlefinance("NSE:PNB","price"),"–")</f>
        <v>–</v>
      </c>
      <c r="I43" s="17">
        <v>145</v>
      </c>
      <c r="J43" s="18">
        <v>180</v>
      </c>
      <c r="K43" s="48" t="s">
        <v>83</v>
      </c>
      <c r="L43" s="19">
        <v>110</v>
      </c>
      <c r="M43" s="20" t="s">
        <v>27</v>
      </c>
      <c r="N43" s="20" t="s">
        <v>237</v>
      </c>
      <c r="O43" s="21" t="s">
        <v>29</v>
      </c>
      <c r="P43" s="22">
        <v>-3.5088000000000001E-2</v>
      </c>
      <c r="Q43" s="23" t="s">
        <v>30</v>
      </c>
      <c r="R43" s="14">
        <v>15</v>
      </c>
      <c r="S43" s="13" t="s">
        <v>31</v>
      </c>
      <c r="T43" s="24" t="s">
        <v>238</v>
      </c>
      <c r="U43" s="25" t="s">
        <v>239</v>
      </c>
    </row>
    <row r="44" spans="1:21" ht="18.75" customHeight="1" x14ac:dyDescent="0.3">
      <c r="A44" s="26">
        <v>40</v>
      </c>
      <c r="B44" s="27" t="s">
        <v>205</v>
      </c>
      <c r="C44" s="28" t="s">
        <v>205</v>
      </c>
      <c r="D44" s="29" t="s">
        <v>236</v>
      </c>
      <c r="E44" s="30">
        <v>1825</v>
      </c>
      <c r="F44" s="30">
        <v>1825</v>
      </c>
      <c r="G44" s="29" t="s">
        <v>26</v>
      </c>
      <c r="H44" s="16" t="str">
        <f ca="1">IFERROR(googlefinance("NSE:POLYMED","price"),"–")</f>
        <v>–</v>
      </c>
      <c r="I44" s="31">
        <v>1900</v>
      </c>
      <c r="J44" s="32">
        <v>1950</v>
      </c>
      <c r="K44" s="32">
        <v>2000</v>
      </c>
      <c r="L44" s="33">
        <v>1750</v>
      </c>
      <c r="M44" s="34" t="s">
        <v>27</v>
      </c>
      <c r="N44" s="34" t="s">
        <v>240</v>
      </c>
      <c r="O44" s="21" t="s">
        <v>29</v>
      </c>
      <c r="P44" s="35">
        <v>-4.1096000000000001E-2</v>
      </c>
      <c r="Q44" s="36" t="s">
        <v>30</v>
      </c>
      <c r="R44" s="29">
        <v>15</v>
      </c>
      <c r="S44" s="28" t="s">
        <v>210</v>
      </c>
      <c r="T44" s="37" t="s">
        <v>211</v>
      </c>
      <c r="U44" s="38" t="s">
        <v>239</v>
      </c>
    </row>
    <row r="45" spans="1:21" ht="18.75" customHeight="1" x14ac:dyDescent="0.3">
      <c r="A45" s="11">
        <v>41</v>
      </c>
      <c r="B45" s="12" t="s">
        <v>241</v>
      </c>
      <c r="C45" s="13" t="s">
        <v>241</v>
      </c>
      <c r="D45" s="14" t="s">
        <v>242</v>
      </c>
      <c r="E45" s="15">
        <v>150</v>
      </c>
      <c r="F45" s="15">
        <v>150</v>
      </c>
      <c r="G45" s="14" t="s">
        <v>26</v>
      </c>
      <c r="H45" s="16" t="str">
        <f ca="1">IFERROR(googlefinance("NSE:PARADEEP","price"),"–")</f>
        <v>–</v>
      </c>
      <c r="I45" s="17">
        <v>160</v>
      </c>
      <c r="J45" s="18">
        <v>170</v>
      </c>
      <c r="K45" s="18">
        <v>180</v>
      </c>
      <c r="L45" s="19">
        <v>145</v>
      </c>
      <c r="M45" s="20" t="s">
        <v>27</v>
      </c>
      <c r="N45" s="20" t="s">
        <v>243</v>
      </c>
      <c r="O45" s="21" t="s">
        <v>29</v>
      </c>
      <c r="P45" s="22">
        <v>-3.3333000000000002E-2</v>
      </c>
      <c r="Q45" s="23" t="s">
        <v>30</v>
      </c>
      <c r="R45" s="14">
        <v>15</v>
      </c>
      <c r="S45" s="13" t="s">
        <v>132</v>
      </c>
      <c r="T45" s="24" t="s">
        <v>244</v>
      </c>
      <c r="U45" s="25" t="s">
        <v>245</v>
      </c>
    </row>
    <row r="46" spans="1:21" ht="18.75" customHeight="1" x14ac:dyDescent="0.3">
      <c r="A46" s="26">
        <v>42</v>
      </c>
      <c r="B46" s="27" t="s">
        <v>246</v>
      </c>
      <c r="C46" s="28" t="s">
        <v>246</v>
      </c>
      <c r="D46" s="29" t="s">
        <v>242</v>
      </c>
      <c r="E46" s="30">
        <v>85</v>
      </c>
      <c r="F46" s="30">
        <v>85</v>
      </c>
      <c r="G46" s="29" t="s">
        <v>26</v>
      </c>
      <c r="H46" s="16" t="str">
        <f ca="1">IFERROR(googlefinance("NSE:NFL","price"),"–")</f>
        <v>–</v>
      </c>
      <c r="I46" s="31">
        <v>90</v>
      </c>
      <c r="J46" s="32">
        <v>95</v>
      </c>
      <c r="K46" s="32">
        <v>100</v>
      </c>
      <c r="L46" s="33">
        <v>80</v>
      </c>
      <c r="M46" s="34" t="s">
        <v>27</v>
      </c>
      <c r="N46" s="34" t="s">
        <v>121</v>
      </c>
      <c r="O46" s="21" t="s">
        <v>29</v>
      </c>
      <c r="P46" s="35">
        <v>-5.8824000000000001E-2</v>
      </c>
      <c r="Q46" s="36" t="s">
        <v>30</v>
      </c>
      <c r="R46" s="29">
        <v>15</v>
      </c>
      <c r="S46" s="28" t="s">
        <v>132</v>
      </c>
      <c r="T46" s="37" t="s">
        <v>247</v>
      </c>
      <c r="U46" s="38" t="s">
        <v>245</v>
      </c>
    </row>
    <row r="47" spans="1:21" ht="18.75" customHeight="1" x14ac:dyDescent="0.3">
      <c r="A47" s="11">
        <v>43</v>
      </c>
      <c r="B47" s="12" t="s">
        <v>248</v>
      </c>
      <c r="C47" s="13" t="s">
        <v>249</v>
      </c>
      <c r="D47" s="14" t="s">
        <v>242</v>
      </c>
      <c r="E47" s="15">
        <v>40</v>
      </c>
      <c r="F47" s="15">
        <v>40</v>
      </c>
      <c r="G47" s="14" t="s">
        <v>26</v>
      </c>
      <c r="H47" s="16" t="str">
        <f ca="1">IFERROR(googlefinance("NSE:JISLJALEQS","price"),"–")</f>
        <v>–</v>
      </c>
      <c r="I47" s="17">
        <v>45</v>
      </c>
      <c r="J47" s="18">
        <v>50</v>
      </c>
      <c r="K47" s="18">
        <v>55</v>
      </c>
      <c r="L47" s="19">
        <v>38</v>
      </c>
      <c r="M47" s="20" t="s">
        <v>27</v>
      </c>
      <c r="N47" s="20" t="s">
        <v>250</v>
      </c>
      <c r="O47" s="21" t="s">
        <v>29</v>
      </c>
      <c r="P47" s="22">
        <v>-0.05</v>
      </c>
      <c r="Q47" s="23" t="s">
        <v>30</v>
      </c>
      <c r="R47" s="14">
        <v>15</v>
      </c>
      <c r="S47" s="13" t="s">
        <v>197</v>
      </c>
      <c r="T47" s="24" t="s">
        <v>251</v>
      </c>
      <c r="U47" s="25" t="s">
        <v>245</v>
      </c>
    </row>
    <row r="48" spans="1:21" ht="18.75" customHeight="1" x14ac:dyDescent="0.3">
      <c r="A48" s="26">
        <v>44</v>
      </c>
      <c r="B48" s="27" t="s">
        <v>252</v>
      </c>
      <c r="C48" s="28" t="s">
        <v>253</v>
      </c>
      <c r="D48" s="29" t="s">
        <v>254</v>
      </c>
      <c r="E48" s="30">
        <v>575</v>
      </c>
      <c r="F48" s="30">
        <v>575</v>
      </c>
      <c r="G48" s="29" t="s">
        <v>26</v>
      </c>
      <c r="H48" s="16" t="str">
        <f ca="1">IFERROR(googlefinance("NSE:HINDZINC","price"),"–")</f>
        <v>–</v>
      </c>
      <c r="I48" s="31">
        <v>650</v>
      </c>
      <c r="J48" s="32">
        <v>700</v>
      </c>
      <c r="K48" s="58" t="s">
        <v>83</v>
      </c>
      <c r="L48" s="33">
        <v>600</v>
      </c>
      <c r="M48" s="39" t="s">
        <v>103</v>
      </c>
      <c r="N48" s="39" t="s">
        <v>255</v>
      </c>
      <c r="O48" s="40" t="s">
        <v>53</v>
      </c>
      <c r="P48" s="41">
        <v>0.217391</v>
      </c>
      <c r="Q48" s="42" t="s">
        <v>105</v>
      </c>
      <c r="R48" s="29">
        <v>45</v>
      </c>
      <c r="S48" s="28" t="s">
        <v>75</v>
      </c>
      <c r="T48" s="37" t="s">
        <v>256</v>
      </c>
      <c r="U48" s="43" t="s">
        <v>257</v>
      </c>
    </row>
    <row r="49" spans="1:21" ht="18.75" customHeight="1" x14ac:dyDescent="0.3">
      <c r="A49" s="11">
        <v>45</v>
      </c>
      <c r="B49" s="12" t="s">
        <v>258</v>
      </c>
      <c r="C49" s="13" t="s">
        <v>258</v>
      </c>
      <c r="D49" s="14" t="s">
        <v>259</v>
      </c>
      <c r="E49" s="15">
        <v>475</v>
      </c>
      <c r="F49" s="15">
        <v>475</v>
      </c>
      <c r="G49" s="14" t="s">
        <v>26</v>
      </c>
      <c r="H49" s="16" t="str">
        <f ca="1">IFERROR(googlefinance("NSE:SWANCORP","price"),"–")</f>
        <v>–</v>
      </c>
      <c r="I49" s="17">
        <v>510</v>
      </c>
      <c r="J49" s="18">
        <v>530</v>
      </c>
      <c r="K49" s="18">
        <v>585</v>
      </c>
      <c r="L49" s="19">
        <v>450</v>
      </c>
      <c r="M49" s="20" t="s">
        <v>27</v>
      </c>
      <c r="N49" s="20" t="s">
        <v>260</v>
      </c>
      <c r="O49" s="21" t="s">
        <v>29</v>
      </c>
      <c r="P49" s="22">
        <v>-5.2631999999999998E-2</v>
      </c>
      <c r="Q49" s="23" t="s">
        <v>30</v>
      </c>
      <c r="R49" s="14">
        <v>15</v>
      </c>
      <c r="S49" s="13" t="s">
        <v>97</v>
      </c>
      <c r="T49" s="24" t="s">
        <v>261</v>
      </c>
      <c r="U49" s="25" t="s">
        <v>262</v>
      </c>
    </row>
    <row r="50" spans="1:21" ht="18.75" customHeight="1" x14ac:dyDescent="0.3">
      <c r="A50" s="26">
        <v>46</v>
      </c>
      <c r="B50" s="27" t="s">
        <v>263</v>
      </c>
      <c r="C50" s="28" t="s">
        <v>263</v>
      </c>
      <c r="D50" s="29" t="s">
        <v>264</v>
      </c>
      <c r="E50" s="30">
        <v>200</v>
      </c>
      <c r="F50" s="30">
        <v>200</v>
      </c>
      <c r="G50" s="29" t="s">
        <v>26</v>
      </c>
      <c r="H50" s="16" t="str">
        <f ca="1">IFERROR(googlefinance("NSE:MOSCHIP","price"),"–")</f>
        <v>–</v>
      </c>
      <c r="I50" s="31">
        <v>230</v>
      </c>
      <c r="J50" s="32">
        <v>250</v>
      </c>
      <c r="K50" s="32">
        <v>265</v>
      </c>
      <c r="L50" s="33">
        <v>199</v>
      </c>
      <c r="M50" s="39" t="s">
        <v>51</v>
      </c>
      <c r="N50" s="39" t="s">
        <v>265</v>
      </c>
      <c r="O50" s="40" t="s">
        <v>53</v>
      </c>
      <c r="P50" s="41">
        <v>0.15</v>
      </c>
      <c r="Q50" s="42" t="s">
        <v>54</v>
      </c>
      <c r="R50" s="29">
        <v>30</v>
      </c>
      <c r="S50" s="28" t="s">
        <v>38</v>
      </c>
      <c r="T50" s="37" t="s">
        <v>266</v>
      </c>
      <c r="U50" s="43" t="s">
        <v>267</v>
      </c>
    </row>
    <row r="51" spans="1:21" ht="18.75" customHeight="1" x14ac:dyDescent="0.3">
      <c r="A51" s="11">
        <v>47</v>
      </c>
      <c r="B51" s="12" t="s">
        <v>268</v>
      </c>
      <c r="C51" s="13" t="s">
        <v>268</v>
      </c>
      <c r="D51" s="14" t="s">
        <v>269</v>
      </c>
      <c r="E51" s="15">
        <v>275</v>
      </c>
      <c r="F51" s="15">
        <v>275</v>
      </c>
      <c r="G51" s="14" t="s">
        <v>26</v>
      </c>
      <c r="H51" s="16" t="str">
        <f ca="1">IFERROR(googlefinance("NSE:PETRONET","price"),"–")</f>
        <v>–</v>
      </c>
      <c r="I51" s="17">
        <v>320</v>
      </c>
      <c r="J51" s="18">
        <v>350</v>
      </c>
      <c r="K51" s="48" t="s">
        <v>83</v>
      </c>
      <c r="L51" s="19">
        <v>250</v>
      </c>
      <c r="M51" s="49" t="str">
        <f ca="1">IF(OR(H51="",H51="–"),"–",IFERROR(IF(H51&lt;L51,"🔴 SL Hit",IF(AND(ISNUMBER(K51),H51&gt;=K51),"✅ T3 Hit",IF(AND(ISNUMBER(J51),H51&gt;=J51),"✅ T2 Hit",IF(AND(ISNUMBER(I51),H51&gt;=I51),"✅ T1 Hit",IF(AND(ISNUMBER(E51),H51&gt;=E51),"🟡 In Buy Zone","📈 Monitoring"))))),"-"))</f>
        <v>–</v>
      </c>
      <c r="N51" s="50" t="str">
        <f ca="1">IF(M51="🟡 In Buy Zone","🔔 BUY NOW!",IF(M51="🔴 SL Hit","⚠️ EXIT NOW!","📊 Monitoring"))</f>
        <v>📊 Monitoring</v>
      </c>
      <c r="O51" s="51" t="s">
        <v>84</v>
      </c>
      <c r="P51" s="52" t="str">
        <f ca="1">IF(OR(ISBLANK(H51),H51="–",H51="N/A",NOT(ISNUMBER(H51)),ISBLANK(E51),E51=0),"–",(H51-E51)/E51)</f>
        <v>–</v>
      </c>
      <c r="Q51" s="53" t="s">
        <v>84</v>
      </c>
      <c r="R51" s="14">
        <v>145</v>
      </c>
      <c r="S51" s="13" t="s">
        <v>148</v>
      </c>
      <c r="T51" s="24" t="s">
        <v>270</v>
      </c>
      <c r="U51" s="14" t="s">
        <v>87</v>
      </c>
    </row>
    <row r="52" spans="1:21" ht="18.75" customHeight="1" x14ac:dyDescent="0.3">
      <c r="A52" s="26">
        <v>48</v>
      </c>
      <c r="B52" s="27" t="s">
        <v>271</v>
      </c>
      <c r="C52" s="28" t="s">
        <v>272</v>
      </c>
      <c r="D52" s="29" t="s">
        <v>273</v>
      </c>
      <c r="E52" s="30">
        <v>820</v>
      </c>
      <c r="F52" s="30">
        <v>820</v>
      </c>
      <c r="G52" s="29" t="s">
        <v>26</v>
      </c>
      <c r="H52" s="16" t="str">
        <f ca="1">IFERROR(googlefinance("NSE:JSL","price"),"–")</f>
        <v>–</v>
      </c>
      <c r="I52" s="31">
        <v>900</v>
      </c>
      <c r="J52" s="32">
        <v>1000</v>
      </c>
      <c r="K52" s="32">
        <v>1100</v>
      </c>
      <c r="L52" s="33">
        <v>775</v>
      </c>
      <c r="M52" s="34" t="s">
        <v>27</v>
      </c>
      <c r="N52" s="34" t="s">
        <v>274</v>
      </c>
      <c r="O52" s="21" t="s">
        <v>29</v>
      </c>
      <c r="P52" s="35">
        <v>-5.4878000000000003E-2</v>
      </c>
      <c r="Q52" s="36" t="s">
        <v>30</v>
      </c>
      <c r="R52" s="29">
        <v>15</v>
      </c>
      <c r="S52" s="28" t="s">
        <v>75</v>
      </c>
      <c r="T52" s="37" t="s">
        <v>275</v>
      </c>
      <c r="U52" s="38" t="s">
        <v>276</v>
      </c>
    </row>
    <row r="53" spans="1:21" ht="18.75" customHeight="1" x14ac:dyDescent="0.3">
      <c r="A53" s="11">
        <v>49</v>
      </c>
      <c r="B53" s="12" t="s">
        <v>277</v>
      </c>
      <c r="C53" s="13" t="s">
        <v>277</v>
      </c>
      <c r="D53" s="14" t="s">
        <v>278</v>
      </c>
      <c r="E53" s="15">
        <v>205</v>
      </c>
      <c r="F53" s="15">
        <v>205</v>
      </c>
      <c r="G53" s="14" t="s">
        <v>26</v>
      </c>
      <c r="H53" s="16" t="str">
        <f ca="1">IFERROR(googlefinance("NSE:DAMCAPITAL","price"),"–")</f>
        <v>–</v>
      </c>
      <c r="I53" s="17">
        <v>250</v>
      </c>
      <c r="J53" s="18">
        <v>275</v>
      </c>
      <c r="K53" s="18">
        <v>290</v>
      </c>
      <c r="L53" s="19">
        <v>198</v>
      </c>
      <c r="M53" s="20" t="s">
        <v>27</v>
      </c>
      <c r="N53" s="20" t="s">
        <v>279</v>
      </c>
      <c r="O53" s="21" t="s">
        <v>29</v>
      </c>
      <c r="P53" s="22">
        <v>-3.4146000000000003E-2</v>
      </c>
      <c r="Q53" s="23" t="s">
        <v>30</v>
      </c>
      <c r="R53" s="14">
        <v>15</v>
      </c>
      <c r="S53" s="13" t="s">
        <v>97</v>
      </c>
      <c r="T53" s="24" t="s">
        <v>280</v>
      </c>
      <c r="U53" s="25" t="s">
        <v>281</v>
      </c>
    </row>
    <row r="54" spans="1:21" ht="18.75" customHeight="1" x14ac:dyDescent="0.3">
      <c r="A54" s="26">
        <v>50</v>
      </c>
      <c r="B54" s="27" t="s">
        <v>282</v>
      </c>
      <c r="C54" s="28" t="s">
        <v>282</v>
      </c>
      <c r="D54" s="29" t="s">
        <v>278</v>
      </c>
      <c r="E54" s="30">
        <v>430</v>
      </c>
      <c r="F54" s="30">
        <v>430</v>
      </c>
      <c r="G54" s="29" t="s">
        <v>26</v>
      </c>
      <c r="H54" s="16" t="str">
        <f ca="1">IFERROR(googlefinance("NSE:MAMATA","price"),"–")</f>
        <v>–</v>
      </c>
      <c r="I54" s="31">
        <v>460</v>
      </c>
      <c r="J54" s="32">
        <v>475</v>
      </c>
      <c r="K54" s="32">
        <v>500</v>
      </c>
      <c r="L54" s="33">
        <v>400</v>
      </c>
      <c r="M54" s="54" t="str">
        <f ca="1">IF(OR(H54="",H54="–"),"–",IFERROR(IF(H54&lt;L54,"🔴 SL Hit",IF(AND(ISNUMBER(K54),H54&gt;=K54),"✅ T3 Hit",IF(AND(ISNUMBER(J54),H54&gt;=J54),"✅ T2 Hit",IF(AND(ISNUMBER(I54),H54&gt;=I54),"✅ T1 Hit",IF(AND(ISNUMBER(E54),H54&gt;=E54),"🟡 In Buy Zone","📈 Monitoring"))))),"-"))</f>
        <v>–</v>
      </c>
      <c r="N54" s="55" t="str">
        <f ca="1">IF(M54="🟡 In Buy Zone","🔔 BUY NOW!",IF(M54="🔴 SL Hit","⚠️ EXIT NOW!","📊 Monitoring"))</f>
        <v>📊 Monitoring</v>
      </c>
      <c r="O54" s="51" t="s">
        <v>84</v>
      </c>
      <c r="P54" s="56" t="str">
        <f ca="1">IF(OR(ISBLANK(H54),H54="–",H54="N/A",NOT(ISNUMBER(H54)),ISBLANK(E54),E54=0),"–",(H54-E54)/E54)</f>
        <v>–</v>
      </c>
      <c r="Q54" s="57" t="s">
        <v>84</v>
      </c>
      <c r="R54" s="29">
        <v>141</v>
      </c>
      <c r="S54" s="28" t="s">
        <v>283</v>
      </c>
      <c r="T54" s="37" t="s">
        <v>284</v>
      </c>
      <c r="U54" s="29" t="s">
        <v>87</v>
      </c>
    </row>
    <row r="55" spans="1:21" ht="18.75" customHeight="1" x14ac:dyDescent="0.3">
      <c r="A55" s="11">
        <v>51</v>
      </c>
      <c r="B55" s="12" t="s">
        <v>285</v>
      </c>
      <c r="C55" s="13" t="s">
        <v>285</v>
      </c>
      <c r="D55" s="14" t="s">
        <v>286</v>
      </c>
      <c r="E55" s="15">
        <v>290</v>
      </c>
      <c r="F55" s="15">
        <v>290</v>
      </c>
      <c r="G55" s="14" t="s">
        <v>26</v>
      </c>
      <c r="H55" s="16" t="str">
        <f ca="1">IFERROR(googlefinance("NSE:BHEL","price"),"–")</f>
        <v>–</v>
      </c>
      <c r="I55" s="17">
        <v>350</v>
      </c>
      <c r="J55" s="18">
        <v>375</v>
      </c>
      <c r="K55" s="18">
        <v>400</v>
      </c>
      <c r="L55" s="19">
        <v>250</v>
      </c>
      <c r="M55" s="44" t="s">
        <v>61</v>
      </c>
      <c r="N55" s="44" t="s">
        <v>287</v>
      </c>
      <c r="O55" s="40" t="s">
        <v>53</v>
      </c>
      <c r="P55" s="45">
        <v>0.37930999999999998</v>
      </c>
      <c r="Q55" s="46" t="s">
        <v>63</v>
      </c>
      <c r="R55" s="14">
        <v>60</v>
      </c>
      <c r="S55" s="13" t="s">
        <v>110</v>
      </c>
      <c r="T55" s="24" t="s">
        <v>288</v>
      </c>
      <c r="U55" s="47" t="s">
        <v>289</v>
      </c>
    </row>
    <row r="56" spans="1:21" ht="18.75" customHeight="1" x14ac:dyDescent="0.3">
      <c r="A56" s="26">
        <v>52</v>
      </c>
      <c r="B56" s="27" t="s">
        <v>290</v>
      </c>
      <c r="C56" s="28" t="s">
        <v>291</v>
      </c>
      <c r="D56" s="29" t="s">
        <v>286</v>
      </c>
      <c r="E56" s="30">
        <v>600</v>
      </c>
      <c r="F56" s="30">
        <v>600</v>
      </c>
      <c r="G56" s="29" t="s">
        <v>26</v>
      </c>
      <c r="H56" s="16" t="str">
        <f ca="1">IFERROR(googlefinance("NSE:GRAPHITE","price"),"–")</f>
        <v>–</v>
      </c>
      <c r="I56" s="31">
        <v>650</v>
      </c>
      <c r="J56" s="32">
        <v>675</v>
      </c>
      <c r="K56" s="32">
        <v>750</v>
      </c>
      <c r="L56" s="33">
        <v>550</v>
      </c>
      <c r="M56" s="39" t="s">
        <v>61</v>
      </c>
      <c r="N56" s="39" t="s">
        <v>292</v>
      </c>
      <c r="O56" s="40" t="s">
        <v>53</v>
      </c>
      <c r="P56" s="41">
        <v>0.25</v>
      </c>
      <c r="Q56" s="42" t="s">
        <v>63</v>
      </c>
      <c r="R56" s="29">
        <v>60</v>
      </c>
      <c r="S56" s="28" t="s">
        <v>75</v>
      </c>
      <c r="T56" s="37" t="s">
        <v>293</v>
      </c>
      <c r="U56" s="43" t="s">
        <v>289</v>
      </c>
    </row>
    <row r="57" spans="1:21" ht="18.75" customHeight="1" x14ac:dyDescent="0.3">
      <c r="A57" s="11">
        <v>53</v>
      </c>
      <c r="B57" s="12" t="s">
        <v>294</v>
      </c>
      <c r="C57" s="13" t="s">
        <v>295</v>
      </c>
      <c r="D57" s="14" t="s">
        <v>296</v>
      </c>
      <c r="E57" s="15">
        <v>1575</v>
      </c>
      <c r="F57" s="15">
        <v>1575</v>
      </c>
      <c r="G57" s="14" t="s">
        <v>26</v>
      </c>
      <c r="H57" s="16" t="str">
        <f ca="1">IFERROR(googlefinance("NSE:RELIANCE","price"),"–")</f>
        <v>–</v>
      </c>
      <c r="I57" s="17">
        <v>1650</v>
      </c>
      <c r="J57" s="18">
        <v>1700</v>
      </c>
      <c r="K57" s="18">
        <v>2000</v>
      </c>
      <c r="L57" s="19">
        <v>1550</v>
      </c>
      <c r="M57" s="20" t="s">
        <v>27</v>
      </c>
      <c r="N57" s="20" t="s">
        <v>297</v>
      </c>
      <c r="O57" s="21" t="s">
        <v>29</v>
      </c>
      <c r="P57" s="22">
        <v>-1.5873000000000002E-2</v>
      </c>
      <c r="Q57" s="23" t="s">
        <v>30</v>
      </c>
      <c r="R57" s="14">
        <v>15</v>
      </c>
      <c r="S57" s="13" t="s">
        <v>148</v>
      </c>
      <c r="T57" s="24" t="s">
        <v>298</v>
      </c>
      <c r="U57" s="25" t="s">
        <v>299</v>
      </c>
    </row>
    <row r="58" spans="1:21" ht="18.75" customHeight="1" x14ac:dyDescent="0.3">
      <c r="A58" s="26">
        <v>54</v>
      </c>
      <c r="B58" s="27" t="s">
        <v>300</v>
      </c>
      <c r="C58" s="28" t="s">
        <v>301</v>
      </c>
      <c r="D58" s="29" t="s">
        <v>302</v>
      </c>
      <c r="E58" s="30">
        <v>1725</v>
      </c>
      <c r="F58" s="30">
        <v>1725</v>
      </c>
      <c r="G58" s="29" t="s">
        <v>26</v>
      </c>
      <c r="H58" s="16" t="str">
        <f ca="1">IFERROR(googlefinance("NSE:PIRAMALFIN","price"),"–")</f>
        <v>–</v>
      </c>
      <c r="I58" s="31">
        <v>1880</v>
      </c>
      <c r="J58" s="32">
        <v>1980</v>
      </c>
      <c r="K58" s="32">
        <v>2018</v>
      </c>
      <c r="L58" s="33">
        <v>1676</v>
      </c>
      <c r="M58" s="39" t="s">
        <v>61</v>
      </c>
      <c r="N58" s="39" t="s">
        <v>303</v>
      </c>
      <c r="O58" s="40" t="s">
        <v>53</v>
      </c>
      <c r="P58" s="41">
        <v>0.16985500000000001</v>
      </c>
      <c r="Q58" s="42" t="s">
        <v>63</v>
      </c>
      <c r="R58" s="29">
        <v>60</v>
      </c>
      <c r="S58" s="28" t="s">
        <v>64</v>
      </c>
      <c r="T58" s="37" t="s">
        <v>304</v>
      </c>
      <c r="U58" s="43" t="s">
        <v>305</v>
      </c>
    </row>
    <row r="59" spans="1:21" ht="18.75" customHeight="1" x14ac:dyDescent="0.3">
      <c r="A59" s="11">
        <v>55</v>
      </c>
      <c r="B59" s="12" t="s">
        <v>306</v>
      </c>
      <c r="C59" s="13" t="s">
        <v>306</v>
      </c>
      <c r="D59" s="14" t="s">
        <v>302</v>
      </c>
      <c r="E59" s="15">
        <v>220</v>
      </c>
      <c r="F59" s="15">
        <v>220</v>
      </c>
      <c r="G59" s="14" t="s">
        <v>26</v>
      </c>
      <c r="H59" s="16" t="str">
        <f ca="1">IFERROR(googlefinance("NSE:MINDTECK","price"),"–")</f>
        <v>–</v>
      </c>
      <c r="I59" s="17">
        <v>260</v>
      </c>
      <c r="J59" s="18">
        <v>270</v>
      </c>
      <c r="K59" s="18">
        <v>280</v>
      </c>
      <c r="L59" s="19">
        <v>230</v>
      </c>
      <c r="M59" s="20" t="s">
        <v>27</v>
      </c>
      <c r="N59" s="20" t="s">
        <v>307</v>
      </c>
      <c r="O59" s="21" t="s">
        <v>29</v>
      </c>
      <c r="P59" s="45">
        <v>4.5455000000000002E-2</v>
      </c>
      <c r="Q59" s="23" t="s">
        <v>30</v>
      </c>
      <c r="R59" s="14">
        <v>15</v>
      </c>
      <c r="S59" s="13" t="s">
        <v>38</v>
      </c>
      <c r="T59" s="24" t="s">
        <v>308</v>
      </c>
      <c r="U59" s="25" t="s">
        <v>309</v>
      </c>
    </row>
    <row r="60" spans="1:21" ht="18.75" customHeight="1" x14ac:dyDescent="0.3">
      <c r="A60" s="26">
        <v>56</v>
      </c>
      <c r="B60" s="27" t="s">
        <v>310</v>
      </c>
      <c r="C60" s="28" t="s">
        <v>310</v>
      </c>
      <c r="D60" s="29" t="s">
        <v>302</v>
      </c>
      <c r="E60" s="30">
        <v>480</v>
      </c>
      <c r="F60" s="30">
        <v>480</v>
      </c>
      <c r="G60" s="29" t="s">
        <v>26</v>
      </c>
      <c r="H60" s="16" t="str">
        <f ca="1">IFERROR(googlefinance("NSE:POONAWALLA","price"),"–")</f>
        <v>–</v>
      </c>
      <c r="I60" s="31">
        <v>500</v>
      </c>
      <c r="J60" s="32">
        <v>550</v>
      </c>
      <c r="K60" s="32">
        <v>600</v>
      </c>
      <c r="L60" s="33">
        <v>462</v>
      </c>
      <c r="M60" s="34" t="s">
        <v>27</v>
      </c>
      <c r="N60" s="34" t="s">
        <v>44</v>
      </c>
      <c r="O60" s="21" t="s">
        <v>29</v>
      </c>
      <c r="P60" s="35">
        <v>-3.7499999999999999E-2</v>
      </c>
      <c r="Q60" s="36" t="s">
        <v>30</v>
      </c>
      <c r="R60" s="29">
        <v>15</v>
      </c>
      <c r="S60" s="28" t="s">
        <v>64</v>
      </c>
      <c r="T60" s="37" t="s">
        <v>311</v>
      </c>
      <c r="U60" s="38" t="s">
        <v>309</v>
      </c>
    </row>
    <row r="61" spans="1:21" ht="18.75" customHeight="1" x14ac:dyDescent="0.3">
      <c r="A61" s="11">
        <v>57</v>
      </c>
      <c r="B61" s="12" t="s">
        <v>312</v>
      </c>
      <c r="C61" s="13" t="s">
        <v>313</v>
      </c>
      <c r="D61" s="14" t="s">
        <v>302</v>
      </c>
      <c r="E61" s="15">
        <v>250</v>
      </c>
      <c r="F61" s="15">
        <v>250</v>
      </c>
      <c r="G61" s="14" t="s">
        <v>26</v>
      </c>
      <c r="H61" s="16" t="str">
        <f ca="1">IFERROR(googlefinance("NSE:NORTHARC","price"),"–")</f>
        <v>–</v>
      </c>
      <c r="I61" s="17">
        <v>275</v>
      </c>
      <c r="J61" s="18">
        <v>290</v>
      </c>
      <c r="K61" s="18">
        <v>300</v>
      </c>
      <c r="L61" s="19">
        <v>225</v>
      </c>
      <c r="M61" s="49" t="str">
        <f ca="1">IF(OR(H61="",H61="–"),"–",IFERROR(IF(H61&lt;L61,"🔴 SL Hit",IF(AND(ISNUMBER(K61),H61&gt;=K61),"✅ T3 Hit",IF(AND(ISNUMBER(J61),H61&gt;=J61),"✅ T2 Hit",IF(AND(ISNUMBER(I61),H61&gt;=I61),"✅ T1 Hit",IF(AND(ISNUMBER(E61),H61&gt;=E61),"🟡 In Buy Zone","📈 Monitoring"))))),"-"))</f>
        <v>–</v>
      </c>
      <c r="N61" s="50" t="str">
        <f ca="1">IF(M61="🟡 In Buy Zone","🔔 BUY NOW!",IF(M61="🔴 SL Hit","⚠️ EXIT NOW!","📊 Monitoring"))</f>
        <v>📊 Monitoring</v>
      </c>
      <c r="O61" s="51" t="s">
        <v>84</v>
      </c>
      <c r="P61" s="52" t="str">
        <f ca="1">IF(OR(ISBLANK(H61),H61="–",H61="N/A",NOT(ISNUMBER(H61)),ISBLANK(E61),E61=0),"–",(H61-E61)/E61)</f>
        <v>–</v>
      </c>
      <c r="Q61" s="53" t="s">
        <v>84</v>
      </c>
      <c r="R61" s="14">
        <v>136</v>
      </c>
      <c r="S61" s="13" t="s">
        <v>64</v>
      </c>
      <c r="T61" s="24" t="s">
        <v>314</v>
      </c>
      <c r="U61" s="14" t="s">
        <v>87</v>
      </c>
    </row>
    <row r="62" spans="1:21" ht="18.75" customHeight="1" x14ac:dyDescent="0.3">
      <c r="A62" s="26">
        <v>58</v>
      </c>
      <c r="B62" s="27" t="s">
        <v>315</v>
      </c>
      <c r="C62" s="28" t="s">
        <v>315</v>
      </c>
      <c r="D62" s="29" t="s">
        <v>316</v>
      </c>
      <c r="E62" s="30">
        <v>195</v>
      </c>
      <c r="F62" s="30">
        <v>195</v>
      </c>
      <c r="G62" s="29" t="s">
        <v>26</v>
      </c>
      <c r="H62" s="16" t="str">
        <f ca="1">IFERROR(googlefinance("NSE:SAMHI","price"),"–")</f>
        <v>–</v>
      </c>
      <c r="I62" s="31">
        <v>205</v>
      </c>
      <c r="J62" s="32">
        <v>210</v>
      </c>
      <c r="K62" s="32">
        <v>220</v>
      </c>
      <c r="L62" s="33">
        <v>187.5</v>
      </c>
      <c r="M62" s="34" t="s">
        <v>27</v>
      </c>
      <c r="N62" s="34" t="s">
        <v>44</v>
      </c>
      <c r="O62" s="21" t="s">
        <v>29</v>
      </c>
      <c r="P62" s="35">
        <v>-3.8462000000000003E-2</v>
      </c>
      <c r="Q62" s="36" t="s">
        <v>30</v>
      </c>
      <c r="R62" s="29">
        <v>15</v>
      </c>
      <c r="S62" s="28" t="s">
        <v>317</v>
      </c>
      <c r="T62" s="37" t="s">
        <v>318</v>
      </c>
      <c r="U62" s="38" t="s">
        <v>319</v>
      </c>
    </row>
    <row r="63" spans="1:21" ht="18.75" customHeight="1" x14ac:dyDescent="0.3">
      <c r="A63" s="11">
        <v>59</v>
      </c>
      <c r="B63" s="12" t="s">
        <v>320</v>
      </c>
      <c r="C63" s="13" t="s">
        <v>320</v>
      </c>
      <c r="D63" s="14" t="s">
        <v>316</v>
      </c>
      <c r="E63" s="15">
        <v>645</v>
      </c>
      <c r="F63" s="15">
        <v>645</v>
      </c>
      <c r="G63" s="14" t="s">
        <v>26</v>
      </c>
      <c r="H63" s="16" t="str">
        <f ca="1">IFERROR(googlefinance("NSE:ARSSBL","price"),"–")</f>
        <v>–</v>
      </c>
      <c r="I63" s="17">
        <v>700</v>
      </c>
      <c r="J63" s="18">
        <v>740</v>
      </c>
      <c r="K63" s="18">
        <v>800</v>
      </c>
      <c r="L63" s="19">
        <v>625</v>
      </c>
      <c r="M63" s="20" t="s">
        <v>27</v>
      </c>
      <c r="N63" s="20" t="s">
        <v>321</v>
      </c>
      <c r="O63" s="21" t="s">
        <v>29</v>
      </c>
      <c r="P63" s="22">
        <v>-3.1008000000000001E-2</v>
      </c>
      <c r="Q63" s="23" t="s">
        <v>30</v>
      </c>
      <c r="R63" s="14">
        <v>15</v>
      </c>
      <c r="S63" s="13" t="s">
        <v>97</v>
      </c>
      <c r="T63" s="24" t="s">
        <v>322</v>
      </c>
      <c r="U63" s="25" t="s">
        <v>319</v>
      </c>
    </row>
    <row r="64" spans="1:21" ht="18.75" customHeight="1" x14ac:dyDescent="0.3">
      <c r="A64" s="26">
        <v>60</v>
      </c>
      <c r="B64" s="27" t="s">
        <v>323</v>
      </c>
      <c r="C64" s="28" t="s">
        <v>324</v>
      </c>
      <c r="D64" s="29" t="s">
        <v>316</v>
      </c>
      <c r="E64" s="30">
        <v>640</v>
      </c>
      <c r="F64" s="30">
        <v>640</v>
      </c>
      <c r="G64" s="29" t="s">
        <v>26</v>
      </c>
      <c r="H64" s="16" t="str">
        <f ca="1">IFERROR(googlefinance("NSE:TATATECH","price"),"–")</f>
        <v>–</v>
      </c>
      <c r="I64" s="31">
        <v>700</v>
      </c>
      <c r="J64" s="32">
        <v>740</v>
      </c>
      <c r="K64" s="32">
        <v>800</v>
      </c>
      <c r="L64" s="33">
        <v>625</v>
      </c>
      <c r="M64" s="54" t="str">
        <f ca="1">IF(OR(H64="",H64="–"),"–",IFERROR(IF(H64&lt;L64,"🔴 SL Hit",IF(AND(ISNUMBER(K64),H64&gt;=K64),"✅ T3 Hit",IF(AND(ISNUMBER(J64),H64&gt;=J64),"✅ T2 Hit",IF(AND(ISNUMBER(I64),H64&gt;=I64),"✅ T1 Hit",IF(AND(ISNUMBER(E64),H64&gt;=E64),"🟡 In Buy Zone","📈 Monitoring"))))),"-"))</f>
        <v>–</v>
      </c>
      <c r="N64" s="55" t="str">
        <f ca="1">IF(M64="🟡 In Buy Zone","🔔 BUY NOW!",IF(M64="🔴 SL Hit","⚠️ EXIT NOW!","📊 Monitoring"))</f>
        <v>📊 Monitoring</v>
      </c>
      <c r="O64" s="51" t="s">
        <v>84</v>
      </c>
      <c r="P64" s="56" t="str">
        <f ca="1">IF(OR(ISBLANK(H64),H64="–",H64="N/A",NOT(ISNUMBER(H64)),ISBLANK(E64),E64=0),"–",(H64-E64)/E64)</f>
        <v>–</v>
      </c>
      <c r="Q64" s="57" t="s">
        <v>84</v>
      </c>
      <c r="R64" s="29">
        <v>135</v>
      </c>
      <c r="S64" s="28" t="s">
        <v>38</v>
      </c>
      <c r="T64" s="37" t="s">
        <v>325</v>
      </c>
      <c r="U64" s="29" t="s">
        <v>87</v>
      </c>
    </row>
    <row r="65" spans="1:21" ht="18.75" customHeight="1" x14ac:dyDescent="0.3">
      <c r="A65" s="11">
        <v>61</v>
      </c>
      <c r="B65" s="12" t="s">
        <v>326</v>
      </c>
      <c r="C65" s="13" t="s">
        <v>327</v>
      </c>
      <c r="D65" s="14" t="s">
        <v>328</v>
      </c>
      <c r="E65" s="15">
        <v>185</v>
      </c>
      <c r="F65" s="15">
        <v>185</v>
      </c>
      <c r="G65" s="14" t="s">
        <v>26</v>
      </c>
      <c r="H65" s="16" t="str">
        <f ca="1">IFERROR(googlefinance("NSE:TATASTEEL","price"),"–")</f>
        <v>–</v>
      </c>
      <c r="I65" s="17">
        <v>200</v>
      </c>
      <c r="J65" s="18">
        <v>225</v>
      </c>
      <c r="K65" s="18">
        <v>240</v>
      </c>
      <c r="L65" s="19">
        <v>175</v>
      </c>
      <c r="M65" s="44" t="s">
        <v>51</v>
      </c>
      <c r="N65" s="44" t="s">
        <v>329</v>
      </c>
      <c r="O65" s="40" t="s">
        <v>53</v>
      </c>
      <c r="P65" s="45">
        <v>8.1081E-2</v>
      </c>
      <c r="Q65" s="46" t="s">
        <v>54</v>
      </c>
      <c r="R65" s="14">
        <v>30</v>
      </c>
      <c r="S65" s="13" t="s">
        <v>75</v>
      </c>
      <c r="T65" s="24" t="s">
        <v>330</v>
      </c>
      <c r="U65" s="47" t="s">
        <v>331</v>
      </c>
    </row>
    <row r="66" spans="1:21" ht="18.75" customHeight="1" x14ac:dyDescent="0.3">
      <c r="A66" s="26">
        <v>62</v>
      </c>
      <c r="B66" s="27" t="s">
        <v>332</v>
      </c>
      <c r="C66" s="28" t="s">
        <v>332</v>
      </c>
      <c r="D66" s="29" t="s">
        <v>328</v>
      </c>
      <c r="E66" s="30">
        <v>3800</v>
      </c>
      <c r="F66" s="30">
        <v>3800</v>
      </c>
      <c r="G66" s="29" t="s">
        <v>26</v>
      </c>
      <c r="H66" s="16" t="str">
        <f ca="1">IFERROR(googlefinance("NSE:DMART","price"),"–")</f>
        <v>–</v>
      </c>
      <c r="I66" s="31">
        <v>4000</v>
      </c>
      <c r="J66" s="32">
        <v>4250</v>
      </c>
      <c r="K66" s="32">
        <v>4500</v>
      </c>
      <c r="L66" s="33">
        <v>3700</v>
      </c>
      <c r="M66" s="39" t="s">
        <v>103</v>
      </c>
      <c r="N66" s="39" t="s">
        <v>333</v>
      </c>
      <c r="O66" s="40" t="s">
        <v>53</v>
      </c>
      <c r="P66" s="41">
        <v>0.118421</v>
      </c>
      <c r="Q66" s="42" t="s">
        <v>105</v>
      </c>
      <c r="R66" s="29">
        <v>45</v>
      </c>
      <c r="S66" s="28" t="s">
        <v>334</v>
      </c>
      <c r="T66" s="37" t="s">
        <v>335</v>
      </c>
      <c r="U66" s="43" t="s">
        <v>336</v>
      </c>
    </row>
    <row r="67" spans="1:21" ht="18.75" customHeight="1" x14ac:dyDescent="0.3">
      <c r="A67" s="11">
        <v>63</v>
      </c>
      <c r="B67" s="12" t="s">
        <v>337</v>
      </c>
      <c r="C67" s="13" t="s">
        <v>338</v>
      </c>
      <c r="D67" s="14" t="s">
        <v>328</v>
      </c>
      <c r="E67" s="15">
        <v>9600</v>
      </c>
      <c r="F67" s="15">
        <v>9600</v>
      </c>
      <c r="G67" s="14" t="s">
        <v>26</v>
      </c>
      <c r="H67" s="16" t="str">
        <f ca="1">IFERROR(googlefinance("NSE:BAJAJ-AUTO","price"),"–")</f>
        <v>–</v>
      </c>
      <c r="I67" s="17">
        <v>10000</v>
      </c>
      <c r="J67" s="18">
        <v>10500</v>
      </c>
      <c r="K67" s="18">
        <v>11000</v>
      </c>
      <c r="L67" s="19">
        <v>9500</v>
      </c>
      <c r="M67" s="44" t="s">
        <v>103</v>
      </c>
      <c r="N67" s="44" t="s">
        <v>339</v>
      </c>
      <c r="O67" s="40" t="s">
        <v>53</v>
      </c>
      <c r="P67" s="45">
        <v>9.375E-2</v>
      </c>
      <c r="Q67" s="46" t="s">
        <v>105</v>
      </c>
      <c r="R67" s="14">
        <v>45</v>
      </c>
      <c r="S67" s="13" t="s">
        <v>45</v>
      </c>
      <c r="T67" s="24" t="s">
        <v>340</v>
      </c>
      <c r="U67" s="47" t="s">
        <v>336</v>
      </c>
    </row>
    <row r="68" spans="1:21" ht="18.75" customHeight="1" x14ac:dyDescent="0.3">
      <c r="A68" s="26">
        <v>64</v>
      </c>
      <c r="B68" s="27" t="s">
        <v>341</v>
      </c>
      <c r="C68" s="28" t="s">
        <v>342</v>
      </c>
      <c r="D68" s="29" t="s">
        <v>343</v>
      </c>
      <c r="E68" s="30">
        <v>2700</v>
      </c>
      <c r="F68" s="30">
        <v>2700</v>
      </c>
      <c r="G68" s="29" t="s">
        <v>26</v>
      </c>
      <c r="H68" s="16" t="str">
        <f ca="1">IFERROR(googlefinance("NSE:ICICIAMC","price"),"–")</f>
        <v>–</v>
      </c>
      <c r="I68" s="31">
        <v>3200</v>
      </c>
      <c r="J68" s="32">
        <v>3400</v>
      </c>
      <c r="K68" s="32">
        <v>3600</v>
      </c>
      <c r="L68" s="33">
        <v>2850</v>
      </c>
      <c r="M68" s="39" t="s">
        <v>61</v>
      </c>
      <c r="N68" s="39" t="s">
        <v>344</v>
      </c>
      <c r="O68" s="40" t="s">
        <v>53</v>
      </c>
      <c r="P68" s="41">
        <v>0.33333299999999999</v>
      </c>
      <c r="Q68" s="42" t="s">
        <v>63</v>
      </c>
      <c r="R68" s="29">
        <v>60</v>
      </c>
      <c r="S68" s="28" t="s">
        <v>345</v>
      </c>
      <c r="T68" s="37" t="s">
        <v>346</v>
      </c>
      <c r="U68" s="43" t="s">
        <v>347</v>
      </c>
    </row>
    <row r="69" spans="1:21" ht="18.75" customHeight="1" x14ac:dyDescent="0.3">
      <c r="A69" s="11">
        <v>65</v>
      </c>
      <c r="B69" s="12" t="s">
        <v>348</v>
      </c>
      <c r="C69" s="13" t="s">
        <v>349</v>
      </c>
      <c r="D69" s="14" t="s">
        <v>343</v>
      </c>
      <c r="E69" s="15">
        <v>7250</v>
      </c>
      <c r="F69" s="15">
        <v>7250</v>
      </c>
      <c r="G69" s="14" t="s">
        <v>26</v>
      </c>
      <c r="H69" s="16" t="str">
        <f ca="1">IFERROR(googlefinance("NSE:POLYCAB","price"),"–")</f>
        <v>–</v>
      </c>
      <c r="I69" s="17">
        <v>7450</v>
      </c>
      <c r="J69" s="18">
        <v>7550</v>
      </c>
      <c r="K69" s="18">
        <v>7700</v>
      </c>
      <c r="L69" s="19">
        <v>7000</v>
      </c>
      <c r="M69" s="44" t="s">
        <v>61</v>
      </c>
      <c r="N69" s="44" t="s">
        <v>350</v>
      </c>
      <c r="O69" s="40" t="s">
        <v>53</v>
      </c>
      <c r="P69" s="45">
        <v>6.2068999999999999E-2</v>
      </c>
      <c r="Q69" s="46" t="s">
        <v>63</v>
      </c>
      <c r="R69" s="14">
        <v>60</v>
      </c>
      <c r="S69" s="13" t="s">
        <v>110</v>
      </c>
      <c r="T69" s="24" t="s">
        <v>351</v>
      </c>
      <c r="U69" s="47" t="s">
        <v>347</v>
      </c>
    </row>
    <row r="70" spans="1:21" ht="18.75" customHeight="1" x14ac:dyDescent="0.3">
      <c r="A70" s="26">
        <v>66</v>
      </c>
      <c r="B70" s="27" t="s">
        <v>352</v>
      </c>
      <c r="C70" s="28" t="s">
        <v>353</v>
      </c>
      <c r="D70" s="29" t="s">
        <v>343</v>
      </c>
      <c r="E70" s="30">
        <v>50</v>
      </c>
      <c r="F70" s="30">
        <v>50</v>
      </c>
      <c r="G70" s="29" t="s">
        <v>26</v>
      </c>
      <c r="H70" s="16" t="str">
        <f ca="1">IFERROR(googlefinance("NSE:IFCI","price"),"–")</f>
        <v>–</v>
      </c>
      <c r="I70" s="31">
        <v>55</v>
      </c>
      <c r="J70" s="32">
        <v>64.39</v>
      </c>
      <c r="K70" s="32">
        <v>75</v>
      </c>
      <c r="L70" s="33">
        <v>45</v>
      </c>
      <c r="M70" s="39" t="s">
        <v>103</v>
      </c>
      <c r="N70" s="39" t="s">
        <v>354</v>
      </c>
      <c r="O70" s="40" t="s">
        <v>53</v>
      </c>
      <c r="P70" s="41">
        <v>0.2878</v>
      </c>
      <c r="Q70" s="42" t="s">
        <v>105</v>
      </c>
      <c r="R70" s="29">
        <v>45</v>
      </c>
      <c r="S70" s="28" t="s">
        <v>97</v>
      </c>
      <c r="T70" s="37" t="s">
        <v>355</v>
      </c>
      <c r="U70" s="43" t="s">
        <v>356</v>
      </c>
    </row>
    <row r="71" spans="1:21" ht="18.75" customHeight="1" x14ac:dyDescent="0.3">
      <c r="A71" s="11">
        <v>67</v>
      </c>
      <c r="B71" s="12" t="s">
        <v>357</v>
      </c>
      <c r="C71" s="13" t="s">
        <v>357</v>
      </c>
      <c r="D71" s="14" t="s">
        <v>343</v>
      </c>
      <c r="E71" s="15">
        <v>1460</v>
      </c>
      <c r="F71" s="15">
        <v>1460</v>
      </c>
      <c r="G71" s="14" t="s">
        <v>26</v>
      </c>
      <c r="H71" s="16" t="str">
        <f ca="1">IFERROR(googlefinance("NSE:CORONA","price"),"–")</f>
        <v>–</v>
      </c>
      <c r="I71" s="17">
        <v>1550</v>
      </c>
      <c r="J71" s="18">
        <v>1650</v>
      </c>
      <c r="K71" s="18">
        <v>1790</v>
      </c>
      <c r="L71" s="19">
        <v>1400</v>
      </c>
      <c r="M71" s="44" t="s">
        <v>61</v>
      </c>
      <c r="N71" s="44" t="s">
        <v>358</v>
      </c>
      <c r="O71" s="40" t="s">
        <v>53</v>
      </c>
      <c r="P71" s="45">
        <v>0.22602700000000001</v>
      </c>
      <c r="Q71" s="46" t="s">
        <v>63</v>
      </c>
      <c r="R71" s="14">
        <v>60</v>
      </c>
      <c r="S71" s="13" t="s">
        <v>158</v>
      </c>
      <c r="T71" s="24" t="s">
        <v>359</v>
      </c>
      <c r="U71" s="47" t="s">
        <v>347</v>
      </c>
    </row>
    <row r="72" spans="1:21" ht="18.75" customHeight="1" x14ac:dyDescent="0.3">
      <c r="A72" s="26">
        <v>68</v>
      </c>
      <c r="B72" s="27" t="s">
        <v>360</v>
      </c>
      <c r="C72" s="28" t="s">
        <v>361</v>
      </c>
      <c r="D72" s="29" t="s">
        <v>343</v>
      </c>
      <c r="E72" s="30">
        <v>155</v>
      </c>
      <c r="F72" s="30">
        <v>155</v>
      </c>
      <c r="G72" s="29" t="s">
        <v>26</v>
      </c>
      <c r="H72" s="16" t="str">
        <f ca="1">IFERROR(googlefinance("NSE:UNIONBANK","price"),"–")</f>
        <v>–</v>
      </c>
      <c r="I72" s="31">
        <v>165</v>
      </c>
      <c r="J72" s="32">
        <v>180</v>
      </c>
      <c r="K72" s="32">
        <v>200</v>
      </c>
      <c r="L72" s="33">
        <v>145</v>
      </c>
      <c r="M72" s="39" t="s">
        <v>61</v>
      </c>
      <c r="N72" s="39" t="s">
        <v>362</v>
      </c>
      <c r="O72" s="40" t="s">
        <v>53</v>
      </c>
      <c r="P72" s="41">
        <v>0.290323</v>
      </c>
      <c r="Q72" s="42" t="s">
        <v>63</v>
      </c>
      <c r="R72" s="29">
        <v>60</v>
      </c>
      <c r="S72" s="28" t="s">
        <v>31</v>
      </c>
      <c r="T72" s="37" t="s">
        <v>363</v>
      </c>
      <c r="U72" s="43" t="s">
        <v>347</v>
      </c>
    </row>
    <row r="73" spans="1:21" ht="18.75" customHeight="1" x14ac:dyDescent="0.3">
      <c r="A73" s="11">
        <v>69</v>
      </c>
      <c r="B73" s="12" t="s">
        <v>364</v>
      </c>
      <c r="C73" s="13" t="s">
        <v>365</v>
      </c>
      <c r="D73" s="14" t="s">
        <v>343</v>
      </c>
      <c r="E73" s="15">
        <v>1975</v>
      </c>
      <c r="F73" s="15">
        <v>1975</v>
      </c>
      <c r="G73" s="14" t="s">
        <v>26</v>
      </c>
      <c r="H73" s="16" t="str">
        <f ca="1">IFERROR(googlefinance("NSE:DALBHARAT","price"),"–")</f>
        <v>–</v>
      </c>
      <c r="I73" s="17">
        <v>2200</v>
      </c>
      <c r="J73" s="18">
        <v>2400</v>
      </c>
      <c r="K73" s="18">
        <v>2600</v>
      </c>
      <c r="L73" s="19">
        <v>1850</v>
      </c>
      <c r="M73" s="20" t="s">
        <v>27</v>
      </c>
      <c r="N73" s="20" t="s">
        <v>366</v>
      </c>
      <c r="O73" s="21" t="s">
        <v>29</v>
      </c>
      <c r="P73" s="22">
        <v>-6.3291E-2</v>
      </c>
      <c r="Q73" s="23" t="s">
        <v>30</v>
      </c>
      <c r="R73" s="14">
        <v>15</v>
      </c>
      <c r="S73" s="13" t="s">
        <v>367</v>
      </c>
      <c r="T73" s="24" t="s">
        <v>368</v>
      </c>
      <c r="U73" s="25" t="s">
        <v>369</v>
      </c>
    </row>
    <row r="74" spans="1:21" ht="18.75" customHeight="1" x14ac:dyDescent="0.3">
      <c r="A74" s="26">
        <v>70</v>
      </c>
      <c r="B74" s="27" t="s">
        <v>370</v>
      </c>
      <c r="C74" s="28" t="s">
        <v>371</v>
      </c>
      <c r="D74" s="29" t="s">
        <v>343</v>
      </c>
      <c r="E74" s="30">
        <v>475</v>
      </c>
      <c r="F74" s="30">
        <v>475</v>
      </c>
      <c r="G74" s="29" t="s">
        <v>26</v>
      </c>
      <c r="H74" s="16" t="str">
        <f ca="1">IFERROR(googlefinance("NSE:APOLLOTYRE","price"),"–")</f>
        <v>–</v>
      </c>
      <c r="I74" s="31">
        <v>500</v>
      </c>
      <c r="J74" s="32">
        <v>525</v>
      </c>
      <c r="K74" s="32">
        <v>550</v>
      </c>
      <c r="L74" s="33">
        <v>450</v>
      </c>
      <c r="M74" s="34" t="s">
        <v>27</v>
      </c>
      <c r="N74" s="34" t="s">
        <v>260</v>
      </c>
      <c r="O74" s="21" t="s">
        <v>29</v>
      </c>
      <c r="P74" s="35">
        <v>-5.2631999999999998E-2</v>
      </c>
      <c r="Q74" s="36" t="s">
        <v>30</v>
      </c>
      <c r="R74" s="29">
        <v>15</v>
      </c>
      <c r="S74" s="28" t="s">
        <v>45</v>
      </c>
      <c r="T74" s="37" t="s">
        <v>335</v>
      </c>
      <c r="U74" s="38" t="s">
        <v>369</v>
      </c>
    </row>
    <row r="75" spans="1:21" ht="18.75" customHeight="1" x14ac:dyDescent="0.3">
      <c r="A75" s="11">
        <v>71</v>
      </c>
      <c r="B75" s="12" t="s">
        <v>372</v>
      </c>
      <c r="C75" s="13" t="s">
        <v>372</v>
      </c>
      <c r="D75" s="14" t="s">
        <v>343</v>
      </c>
      <c r="E75" s="15">
        <v>360</v>
      </c>
      <c r="F75" s="15">
        <v>360</v>
      </c>
      <c r="G75" s="14" t="s">
        <v>26</v>
      </c>
      <c r="H75" s="16" t="str">
        <f ca="1">IFERROR(googlefinance("NSE:BIOCON","price"),"–")</f>
        <v>–</v>
      </c>
      <c r="I75" s="17">
        <v>380</v>
      </c>
      <c r="J75" s="18">
        <v>395</v>
      </c>
      <c r="K75" s="18">
        <v>420</v>
      </c>
      <c r="L75" s="19">
        <v>325</v>
      </c>
      <c r="M75" s="49" t="str">
        <f ca="1">IF(OR(H75="",H75="–"),"–",IFERROR(IF(H75&lt;L75,"🔴 SL Hit",IF(AND(ISNUMBER(K75),H75&gt;=K75),"✅ T3 Hit",IF(AND(ISNUMBER(J75),H75&gt;=J75),"✅ T2 Hit",IF(AND(ISNUMBER(I75),H75&gt;=I75),"✅ T1 Hit",IF(AND(ISNUMBER(E75),H75&gt;=E75),"🟡 In Buy Zone","📈 Monitoring"))))),"-"))</f>
        <v>–</v>
      </c>
      <c r="N75" s="50" t="str">
        <f ca="1">IF(M75="🟡 In Buy Zone","🔔 BUY NOW!",IF(M75="🔴 SL Hit","⚠️ EXIT NOW!","📊 Monitoring"))</f>
        <v>📊 Monitoring</v>
      </c>
      <c r="O75" s="51" t="s">
        <v>84</v>
      </c>
      <c r="P75" s="52" t="str">
        <f ca="1">IF(OR(ISBLANK(H75),H75="–",H75="N/A",NOT(ISNUMBER(H75)),ISBLANK(E75),E75=0),"–",(H75-E75)/E75)</f>
        <v>–</v>
      </c>
      <c r="Q75" s="53" t="s">
        <v>84</v>
      </c>
      <c r="R75" s="14">
        <v>126</v>
      </c>
      <c r="S75" s="13" t="s">
        <v>55</v>
      </c>
      <c r="T75" s="24" t="s">
        <v>373</v>
      </c>
      <c r="U75" s="14" t="s">
        <v>87</v>
      </c>
    </row>
    <row r="76" spans="1:21" ht="18.75" customHeight="1" x14ac:dyDescent="0.3">
      <c r="A76" s="26">
        <v>72</v>
      </c>
      <c r="B76" s="27" t="s">
        <v>374</v>
      </c>
      <c r="C76" s="28" t="s">
        <v>375</v>
      </c>
      <c r="D76" s="29" t="s">
        <v>343</v>
      </c>
      <c r="E76" s="30">
        <v>645</v>
      </c>
      <c r="F76" s="30">
        <v>645</v>
      </c>
      <c r="G76" s="29" t="s">
        <v>26</v>
      </c>
      <c r="H76" s="16" t="str">
        <f ca="1">IFERROR(googlefinance("NSE:INDHOTEL","price"),"–")</f>
        <v>–</v>
      </c>
      <c r="I76" s="31">
        <v>675</v>
      </c>
      <c r="J76" s="32">
        <v>725</v>
      </c>
      <c r="K76" s="58" t="s">
        <v>83</v>
      </c>
      <c r="L76" s="33">
        <v>600</v>
      </c>
      <c r="M76" s="54" t="str">
        <f ca="1">IF(OR(H76="",H76="–"),"–",IFERROR(IF(H76&lt;L76,"🔴 SL Hit",IF(AND(ISNUMBER(K76),H76&gt;=K76),"✅ T3 Hit",IF(AND(ISNUMBER(J76),H76&gt;=J76),"✅ T2 Hit",IF(AND(ISNUMBER(I76),H76&gt;=I76),"✅ T1 Hit",IF(AND(ISNUMBER(E76),H76&gt;=E76),"🟡 In Buy Zone","📈 Monitoring"))))),"-"))</f>
        <v>–</v>
      </c>
      <c r="N76" s="55" t="str">
        <f ca="1">IF(M76="🟡 In Buy Zone","🔔 BUY NOW!",IF(M76="🔴 SL Hit","⚠️ EXIT NOW!","📊 Monitoring"))</f>
        <v>📊 Monitoring</v>
      </c>
      <c r="O76" s="51" t="s">
        <v>84</v>
      </c>
      <c r="P76" s="56" t="str">
        <f ca="1">IF(OR(ISBLANK(H76),H76="–",H76="N/A",NOT(ISNUMBER(H76)),ISBLANK(E76),E76=0),"–",(H76-E76)/E76)</f>
        <v>–</v>
      </c>
      <c r="Q76" s="57" t="s">
        <v>84</v>
      </c>
      <c r="R76" s="29">
        <v>126</v>
      </c>
      <c r="S76" s="28" t="s">
        <v>317</v>
      </c>
      <c r="T76" s="37" t="s">
        <v>376</v>
      </c>
      <c r="U76" s="29" t="s">
        <v>87</v>
      </c>
    </row>
    <row r="77" spans="1:21" ht="18.75" customHeight="1" x14ac:dyDescent="0.3">
      <c r="A77" s="11">
        <v>73</v>
      </c>
      <c r="B77" s="12" t="s">
        <v>326</v>
      </c>
      <c r="C77" s="13" t="s">
        <v>327</v>
      </c>
      <c r="D77" s="14" t="s">
        <v>377</v>
      </c>
      <c r="E77" s="15">
        <v>205</v>
      </c>
      <c r="F77" s="15">
        <v>205</v>
      </c>
      <c r="G77" s="14" t="s">
        <v>26</v>
      </c>
      <c r="H77" s="16" t="str">
        <f ca="1">IFERROR(googlefinance("NSE:TATASTEEL","price"),"–")</f>
        <v>–</v>
      </c>
      <c r="I77" s="17">
        <v>212</v>
      </c>
      <c r="J77" s="18">
        <v>220</v>
      </c>
      <c r="K77" s="48" t="s">
        <v>83</v>
      </c>
      <c r="L77" s="19">
        <v>200</v>
      </c>
      <c r="M77" s="44" t="s">
        <v>51</v>
      </c>
      <c r="N77" s="44" t="s">
        <v>378</v>
      </c>
      <c r="O77" s="40" t="s">
        <v>53</v>
      </c>
      <c r="P77" s="45">
        <v>3.4146000000000003E-2</v>
      </c>
      <c r="Q77" s="46" t="s">
        <v>54</v>
      </c>
      <c r="R77" s="14">
        <v>30</v>
      </c>
      <c r="S77" s="13" t="s">
        <v>75</v>
      </c>
      <c r="T77" s="24" t="s">
        <v>330</v>
      </c>
      <c r="U77" s="47" t="s">
        <v>379</v>
      </c>
    </row>
    <row r="78" spans="1:21" ht="18.75" customHeight="1" x14ac:dyDescent="0.3">
      <c r="A78" s="26">
        <v>74</v>
      </c>
      <c r="B78" s="27" t="s">
        <v>337</v>
      </c>
      <c r="C78" s="28" t="s">
        <v>338</v>
      </c>
      <c r="D78" s="29" t="s">
        <v>380</v>
      </c>
      <c r="E78" s="30">
        <v>9800</v>
      </c>
      <c r="F78" s="30">
        <v>9800</v>
      </c>
      <c r="G78" s="29" t="s">
        <v>26</v>
      </c>
      <c r="H78" s="16" t="str">
        <f ca="1">IFERROR(googlefinance("NSE:BAJAJ-AUTO","price"),"–")</f>
        <v>–</v>
      </c>
      <c r="I78" s="31">
        <v>10000</v>
      </c>
      <c r="J78" s="32">
        <v>10500</v>
      </c>
      <c r="K78" s="32">
        <v>11500</v>
      </c>
      <c r="L78" s="33">
        <v>9750</v>
      </c>
      <c r="M78" s="39" t="s">
        <v>61</v>
      </c>
      <c r="N78" s="39" t="s">
        <v>381</v>
      </c>
      <c r="O78" s="40" t="s">
        <v>53</v>
      </c>
      <c r="P78" s="41">
        <v>0.17346900000000001</v>
      </c>
      <c r="Q78" s="42" t="s">
        <v>63</v>
      </c>
      <c r="R78" s="29">
        <v>60</v>
      </c>
      <c r="S78" s="28" t="s">
        <v>45</v>
      </c>
      <c r="T78" s="37" t="s">
        <v>340</v>
      </c>
      <c r="U78" s="43" t="s">
        <v>382</v>
      </c>
    </row>
    <row r="79" spans="1:21" ht="18.75" customHeight="1" x14ac:dyDescent="0.3">
      <c r="A79" s="11">
        <v>75</v>
      </c>
      <c r="B79" s="12" t="s">
        <v>383</v>
      </c>
      <c r="C79" s="13" t="s">
        <v>384</v>
      </c>
      <c r="D79" s="14" t="s">
        <v>380</v>
      </c>
      <c r="E79" s="15">
        <v>1575</v>
      </c>
      <c r="F79" s="15">
        <v>1575</v>
      </c>
      <c r="G79" s="14" t="s">
        <v>26</v>
      </c>
      <c r="H79" s="16" t="str">
        <f ca="1">IFERROR(googlefinance("NSE:ASTRAL","price"),"–")</f>
        <v>–</v>
      </c>
      <c r="I79" s="17">
        <v>1700</v>
      </c>
      <c r="J79" s="18">
        <v>1800</v>
      </c>
      <c r="K79" s="18">
        <v>1900</v>
      </c>
      <c r="L79" s="19">
        <v>1530</v>
      </c>
      <c r="M79" s="44" t="s">
        <v>61</v>
      </c>
      <c r="N79" s="44" t="s">
        <v>385</v>
      </c>
      <c r="O79" s="40" t="s">
        <v>53</v>
      </c>
      <c r="P79" s="45">
        <v>0.206349</v>
      </c>
      <c r="Q79" s="46" t="s">
        <v>63</v>
      </c>
      <c r="R79" s="14">
        <v>60</v>
      </c>
      <c r="S79" s="13" t="s">
        <v>158</v>
      </c>
      <c r="T79" s="24" t="s">
        <v>386</v>
      </c>
      <c r="U79" s="47" t="s">
        <v>382</v>
      </c>
    </row>
    <row r="80" spans="1:21" ht="18.75" customHeight="1" x14ac:dyDescent="0.3">
      <c r="A80" s="26">
        <v>76</v>
      </c>
      <c r="B80" s="27" t="s">
        <v>387</v>
      </c>
      <c r="C80" s="28" t="s">
        <v>388</v>
      </c>
      <c r="D80" s="29" t="s">
        <v>380</v>
      </c>
      <c r="E80" s="30">
        <v>168</v>
      </c>
      <c r="F80" s="30">
        <v>168</v>
      </c>
      <c r="G80" s="29" t="s">
        <v>26</v>
      </c>
      <c r="H80" s="16" t="str">
        <f ca="1">IFERROR(googlefinance("NSE:BANKINDIA","price"),"–")</f>
        <v>–</v>
      </c>
      <c r="I80" s="31">
        <v>190</v>
      </c>
      <c r="J80" s="32">
        <v>200</v>
      </c>
      <c r="K80" s="32">
        <v>220</v>
      </c>
      <c r="L80" s="33">
        <v>150</v>
      </c>
      <c r="M80" s="34" t="s">
        <v>27</v>
      </c>
      <c r="N80" s="34" t="s">
        <v>389</v>
      </c>
      <c r="O80" s="21" t="s">
        <v>29</v>
      </c>
      <c r="P80" s="35">
        <v>-0.107143</v>
      </c>
      <c r="Q80" s="36" t="s">
        <v>30</v>
      </c>
      <c r="R80" s="29">
        <v>15</v>
      </c>
      <c r="S80" s="28" t="s">
        <v>31</v>
      </c>
      <c r="T80" s="37" t="s">
        <v>390</v>
      </c>
      <c r="U80" s="38" t="s">
        <v>391</v>
      </c>
    </row>
    <row r="81" spans="1:21" ht="18.75" customHeight="1" x14ac:dyDescent="0.3">
      <c r="A81" s="11">
        <v>77</v>
      </c>
      <c r="B81" s="12" t="s">
        <v>392</v>
      </c>
      <c r="C81" s="13" t="s">
        <v>393</v>
      </c>
      <c r="D81" s="14" t="s">
        <v>380</v>
      </c>
      <c r="E81" s="15">
        <v>2150</v>
      </c>
      <c r="F81" s="15">
        <v>2150</v>
      </c>
      <c r="G81" s="14" t="s">
        <v>26</v>
      </c>
      <c r="H81" s="16" t="str">
        <f ca="1">IFERROR(googlefinance("NSE:COLPAL","price"),"–")</f>
        <v>–</v>
      </c>
      <c r="I81" s="17">
        <v>2200</v>
      </c>
      <c r="J81" s="18">
        <v>2300</v>
      </c>
      <c r="K81" s="18">
        <v>2400</v>
      </c>
      <c r="L81" s="19">
        <v>2025</v>
      </c>
      <c r="M81" s="49" t="str">
        <f ca="1">IF(OR(H81="",H81="–"),"–",IFERROR(IF(H81&lt;L81,"🔴 SL Hit",IF(AND(ISNUMBER(K81),H81&gt;=K81),"✅ T3 Hit",IF(AND(ISNUMBER(J81),H81&gt;=J81),"✅ T2 Hit",IF(AND(ISNUMBER(I81),H81&gt;=I81),"✅ T1 Hit",IF(AND(ISNUMBER(E81),H81&gt;=E81),"🟡 In Buy Zone","📈 Monitoring"))))),"-"))</f>
        <v>–</v>
      </c>
      <c r="N81" s="50" t="str">
        <f ca="1">IF(M81="🟡 In Buy Zone","🔔 BUY NOW!",IF(M81="🔴 SL Hit","⚠️ EXIT NOW!","📊 Monitoring"))</f>
        <v>📊 Monitoring</v>
      </c>
      <c r="O81" s="51" t="s">
        <v>84</v>
      </c>
      <c r="P81" s="52" t="str">
        <f ca="1">IF(OR(ISBLANK(H81),H81="–",H81="N/A",NOT(ISNUMBER(H81)),ISBLANK(E81),E81=0),"–",(H81-E81)/E81)</f>
        <v>–</v>
      </c>
      <c r="Q81" s="53" t="s">
        <v>84</v>
      </c>
      <c r="R81" s="14">
        <v>117</v>
      </c>
      <c r="S81" s="13" t="s">
        <v>203</v>
      </c>
      <c r="T81" s="24" t="s">
        <v>394</v>
      </c>
      <c r="U81" s="14" t="s">
        <v>87</v>
      </c>
    </row>
    <row r="82" spans="1:21" ht="18.75" customHeight="1" x14ac:dyDescent="0.3">
      <c r="A82" s="26">
        <v>78</v>
      </c>
      <c r="B82" s="27" t="s">
        <v>395</v>
      </c>
      <c r="C82" s="28" t="s">
        <v>396</v>
      </c>
      <c r="D82" s="29" t="s">
        <v>397</v>
      </c>
      <c r="E82" s="30">
        <v>60</v>
      </c>
      <c r="F82" s="30">
        <v>60</v>
      </c>
      <c r="G82" s="29" t="s">
        <v>26</v>
      </c>
      <c r="H82" s="16" t="str">
        <f ca="1">IFERROR(googlefinance("NSE:MAHABANK","price"),"–")</f>
        <v>–</v>
      </c>
      <c r="I82" s="31">
        <v>75</v>
      </c>
      <c r="J82" s="32">
        <v>90</v>
      </c>
      <c r="K82" s="32">
        <v>120</v>
      </c>
      <c r="L82" s="33">
        <v>50</v>
      </c>
      <c r="M82" s="39" t="s">
        <v>51</v>
      </c>
      <c r="N82" s="39" t="s">
        <v>398</v>
      </c>
      <c r="O82" s="40" t="s">
        <v>53</v>
      </c>
      <c r="P82" s="41">
        <v>0.25</v>
      </c>
      <c r="Q82" s="42" t="s">
        <v>54</v>
      </c>
      <c r="R82" s="29">
        <v>30</v>
      </c>
      <c r="S82" s="28" t="s">
        <v>31</v>
      </c>
      <c r="T82" s="37" t="s">
        <v>399</v>
      </c>
      <c r="U82" s="43" t="s">
        <v>400</v>
      </c>
    </row>
    <row r="83" spans="1:21" ht="18.75" customHeight="1" x14ac:dyDescent="0.3">
      <c r="A83" s="11">
        <v>79</v>
      </c>
      <c r="B83" s="12" t="s">
        <v>401</v>
      </c>
      <c r="C83" s="13" t="s">
        <v>402</v>
      </c>
      <c r="D83" s="14" t="s">
        <v>403</v>
      </c>
      <c r="E83" s="15">
        <v>285</v>
      </c>
      <c r="F83" s="15">
        <v>285</v>
      </c>
      <c r="G83" s="14" t="s">
        <v>26</v>
      </c>
      <c r="H83" s="16" t="str">
        <f ca="1">IFERROR(googlefinance("NSE:PRECWIRE","price"),"–")</f>
        <v>–</v>
      </c>
      <c r="I83" s="17">
        <v>325</v>
      </c>
      <c r="J83" s="18">
        <v>365</v>
      </c>
      <c r="K83" s="18">
        <v>425</v>
      </c>
      <c r="L83" s="19">
        <v>260</v>
      </c>
      <c r="M83" s="44" t="s">
        <v>61</v>
      </c>
      <c r="N83" s="44" t="s">
        <v>404</v>
      </c>
      <c r="O83" s="40" t="s">
        <v>53</v>
      </c>
      <c r="P83" s="45">
        <v>0.491228</v>
      </c>
      <c r="Q83" s="46" t="s">
        <v>63</v>
      </c>
      <c r="R83" s="14">
        <v>60</v>
      </c>
      <c r="S83" s="13" t="s">
        <v>110</v>
      </c>
      <c r="T83" s="24" t="s">
        <v>405</v>
      </c>
      <c r="U83" s="47" t="s">
        <v>406</v>
      </c>
    </row>
    <row r="84" spans="1:21" ht="18.75" customHeight="1" x14ac:dyDescent="0.3">
      <c r="A84" s="26">
        <v>80</v>
      </c>
      <c r="B84" s="27" t="s">
        <v>407</v>
      </c>
      <c r="C84" s="28" t="s">
        <v>407</v>
      </c>
      <c r="D84" s="29" t="s">
        <v>408</v>
      </c>
      <c r="E84" s="30">
        <v>365</v>
      </c>
      <c r="F84" s="30">
        <v>365</v>
      </c>
      <c r="G84" s="29" t="s">
        <v>26</v>
      </c>
      <c r="H84" s="16" t="str">
        <f ca="1">IFERROR(googlefinance("NSE:NTPC","price"),"–")</f>
        <v>–</v>
      </c>
      <c r="I84" s="31">
        <v>385</v>
      </c>
      <c r="J84" s="32">
        <v>390</v>
      </c>
      <c r="K84" s="32">
        <v>399.9</v>
      </c>
      <c r="L84" s="33">
        <v>355</v>
      </c>
      <c r="M84" s="39" t="s">
        <v>61</v>
      </c>
      <c r="N84" s="39" t="s">
        <v>409</v>
      </c>
      <c r="O84" s="40" t="s">
        <v>53</v>
      </c>
      <c r="P84" s="41">
        <v>9.5616000000000007E-2</v>
      </c>
      <c r="Q84" s="42" t="s">
        <v>63</v>
      </c>
      <c r="R84" s="29">
        <v>60</v>
      </c>
      <c r="S84" s="28" t="s">
        <v>410</v>
      </c>
      <c r="T84" s="37" t="s">
        <v>411</v>
      </c>
      <c r="U84" s="43" t="s">
        <v>412</v>
      </c>
    </row>
    <row r="85" spans="1:21" ht="18.75" customHeight="1" x14ac:dyDescent="0.3">
      <c r="A85" s="11">
        <v>81</v>
      </c>
      <c r="B85" s="12" t="s">
        <v>413</v>
      </c>
      <c r="C85" s="13" t="s">
        <v>414</v>
      </c>
      <c r="D85" s="14" t="s">
        <v>408</v>
      </c>
      <c r="E85" s="15">
        <v>950</v>
      </c>
      <c r="F85" s="15">
        <v>950</v>
      </c>
      <c r="G85" s="14" t="s">
        <v>26</v>
      </c>
      <c r="H85" s="16" t="str">
        <f ca="1">IFERROR(googlefinance("NSE:FORTIS","price"),"–")</f>
        <v>–</v>
      </c>
      <c r="I85" s="17">
        <v>1000</v>
      </c>
      <c r="J85" s="18">
        <v>1050</v>
      </c>
      <c r="K85" s="18">
        <v>1200</v>
      </c>
      <c r="L85" s="19">
        <v>900</v>
      </c>
      <c r="M85" s="49" t="str">
        <f ca="1">IF(OR(H85="",H85="–"),"–",IFERROR(IF(H85&lt;L85,"🔴 SL Hit",IF(AND(ISNUMBER(K85),H85&gt;=K85),"✅ T3 Hit",IF(AND(ISNUMBER(J85),H85&gt;=J85),"✅ T2 Hit",IF(AND(ISNUMBER(I85),H85&gt;=I85),"✅ T1 Hit",IF(AND(ISNUMBER(E85),H85&gt;=E85),"🟡 In Buy Zone","📈 Monitoring"))))),"-"))</f>
        <v>–</v>
      </c>
      <c r="N85" s="50" t="str">
        <f ca="1">IF(M85="🟡 In Buy Zone","🔔 BUY NOW!",IF(M85="🔴 SL Hit","⚠️ EXIT NOW!","📊 Monitoring"))</f>
        <v>📊 Monitoring</v>
      </c>
      <c r="O85" s="51" t="s">
        <v>84</v>
      </c>
      <c r="P85" s="52" t="str">
        <f ca="1">IF(OR(ISBLANK(H85),H85="–",H85="N/A",NOT(ISNUMBER(H85)),ISBLANK(E85),E85=0),"–",(H85-E85)/E85)</f>
        <v>–</v>
      </c>
      <c r="Q85" s="53" t="s">
        <v>84</v>
      </c>
      <c r="R85" s="14">
        <v>114</v>
      </c>
      <c r="S85" s="13" t="s">
        <v>210</v>
      </c>
      <c r="T85" s="24" t="s">
        <v>415</v>
      </c>
      <c r="U85" s="14" t="s">
        <v>87</v>
      </c>
    </row>
    <row r="86" spans="1:21" ht="18.75" customHeight="1" x14ac:dyDescent="0.3">
      <c r="A86" s="26">
        <v>82</v>
      </c>
      <c r="B86" s="27" t="s">
        <v>416</v>
      </c>
      <c r="C86" s="28" t="s">
        <v>417</v>
      </c>
      <c r="D86" s="29" t="s">
        <v>418</v>
      </c>
      <c r="E86" s="30">
        <v>150</v>
      </c>
      <c r="F86" s="30">
        <v>150</v>
      </c>
      <c r="G86" s="29" t="s">
        <v>26</v>
      </c>
      <c r="H86" s="16" t="str">
        <f ca="1">IFERROR(googlefinance("NSE:IOC","price"),"–")</f>
        <v>–</v>
      </c>
      <c r="I86" s="31">
        <v>160</v>
      </c>
      <c r="J86" s="32">
        <v>165</v>
      </c>
      <c r="K86" s="32">
        <v>170</v>
      </c>
      <c r="L86" s="33">
        <v>145</v>
      </c>
      <c r="M86" s="34" t="s">
        <v>27</v>
      </c>
      <c r="N86" s="34" t="s">
        <v>243</v>
      </c>
      <c r="O86" s="21" t="s">
        <v>29</v>
      </c>
      <c r="P86" s="35">
        <v>-3.3333000000000002E-2</v>
      </c>
      <c r="Q86" s="36" t="s">
        <v>30</v>
      </c>
      <c r="R86" s="29">
        <v>15</v>
      </c>
      <c r="S86" s="28" t="s">
        <v>148</v>
      </c>
      <c r="T86" s="37" t="s">
        <v>419</v>
      </c>
      <c r="U86" s="38" t="s">
        <v>420</v>
      </c>
    </row>
    <row r="87" spans="1:21" ht="18.75" customHeight="1" x14ac:dyDescent="0.3">
      <c r="A87" s="11">
        <v>83</v>
      </c>
      <c r="B87" s="12" t="s">
        <v>421</v>
      </c>
      <c r="C87" s="13" t="s">
        <v>422</v>
      </c>
      <c r="D87" s="14" t="s">
        <v>423</v>
      </c>
      <c r="E87" s="15">
        <v>2450</v>
      </c>
      <c r="F87" s="15">
        <v>2450</v>
      </c>
      <c r="G87" s="14" t="s">
        <v>26</v>
      </c>
      <c r="H87" s="16" t="str">
        <f ca="1">IFERROR(googlefinance("NSE:MTARTECH","price"),"–")</f>
        <v>–</v>
      </c>
      <c r="I87" s="17">
        <v>3500</v>
      </c>
      <c r="J87" s="18">
        <v>4500</v>
      </c>
      <c r="K87" s="18">
        <v>6500</v>
      </c>
      <c r="L87" s="19">
        <v>2000</v>
      </c>
      <c r="M87" s="44" t="s">
        <v>61</v>
      </c>
      <c r="N87" s="44" t="s">
        <v>424</v>
      </c>
      <c r="O87" s="40" t="s">
        <v>53</v>
      </c>
      <c r="P87" s="45">
        <v>1.6530609999999999</v>
      </c>
      <c r="Q87" s="46" t="s">
        <v>63</v>
      </c>
      <c r="R87" s="14">
        <v>60</v>
      </c>
      <c r="S87" s="13" t="s">
        <v>224</v>
      </c>
      <c r="T87" s="24" t="s">
        <v>425</v>
      </c>
      <c r="U87" s="47" t="s">
        <v>426</v>
      </c>
    </row>
    <row r="88" spans="1:21" ht="18.75" customHeight="1" x14ac:dyDescent="0.3">
      <c r="A88" s="26">
        <v>84</v>
      </c>
      <c r="B88" s="27" t="s">
        <v>427</v>
      </c>
      <c r="C88" s="28" t="s">
        <v>427</v>
      </c>
      <c r="D88" s="29" t="s">
        <v>423</v>
      </c>
      <c r="E88" s="30">
        <v>457</v>
      </c>
      <c r="F88" s="30">
        <v>457</v>
      </c>
      <c r="G88" s="29" t="s">
        <v>26</v>
      </c>
      <c r="H88" s="16" t="str">
        <f ca="1">IFERROR(googlefinance("NSE:BEL","price"),"–")</f>
        <v>–</v>
      </c>
      <c r="I88" s="31">
        <v>480</v>
      </c>
      <c r="J88" s="32">
        <v>500</v>
      </c>
      <c r="K88" s="32">
        <v>525</v>
      </c>
      <c r="L88" s="33">
        <v>430</v>
      </c>
      <c r="M88" s="54" t="str">
        <f ca="1">IF(OR(H88="",H88="–"),"–",IFERROR(IF(H88&lt;L88,"🔴 SL Hit",IF(AND(ISNUMBER(K88),H88&gt;=K88),"✅ T3 Hit",IF(AND(ISNUMBER(J88),H88&gt;=J88),"✅ T2 Hit",IF(AND(ISNUMBER(I88),H88&gt;=I88),"✅ T1 Hit",IF(AND(ISNUMBER(E88),H88&gt;=E88),"🟡 In Buy Zone","📈 Monitoring"))))),"-"))</f>
        <v>–</v>
      </c>
      <c r="N88" s="55" t="str">
        <f ca="1">IF(M88="🟡 In Buy Zone","🔔 BUY NOW!",IF(M88="🔴 SL Hit","⚠️ EXIT NOW!","📊 Monitoring"))</f>
        <v>📊 Monitoring</v>
      </c>
      <c r="O88" s="51" t="s">
        <v>84</v>
      </c>
      <c r="P88" s="56" t="str">
        <f ca="1">IF(OR(ISBLANK(H88),H88="–",H88="N/A",NOT(ISNUMBER(H88)),ISBLANK(E88),E88=0),"–",(H88-E88)/E88)</f>
        <v>–</v>
      </c>
      <c r="Q88" s="57" t="s">
        <v>84</v>
      </c>
      <c r="R88" s="29">
        <v>110</v>
      </c>
      <c r="S88" s="28" t="s">
        <v>224</v>
      </c>
      <c r="T88" s="37" t="s">
        <v>428</v>
      </c>
      <c r="U88" s="29" t="s">
        <v>87</v>
      </c>
    </row>
    <row r="89" spans="1:21" ht="18.75" customHeight="1" x14ac:dyDescent="0.3">
      <c r="A89" s="11">
        <v>85</v>
      </c>
      <c r="B89" s="12" t="s">
        <v>429</v>
      </c>
      <c r="C89" s="13" t="s">
        <v>430</v>
      </c>
      <c r="D89" s="14" t="s">
        <v>431</v>
      </c>
      <c r="E89" s="15">
        <v>1585</v>
      </c>
      <c r="F89" s="15">
        <v>1585</v>
      </c>
      <c r="G89" s="14" t="s">
        <v>26</v>
      </c>
      <c r="H89" s="16" t="str">
        <f ca="1">IFERROR(googlefinance("NSE:CPPLUS","price"),"–")</f>
        <v>–</v>
      </c>
      <c r="I89" s="17">
        <v>1650</v>
      </c>
      <c r="J89" s="18">
        <v>1685</v>
      </c>
      <c r="K89" s="18">
        <v>1725</v>
      </c>
      <c r="L89" s="19">
        <v>1550</v>
      </c>
      <c r="M89" s="44" t="s">
        <v>61</v>
      </c>
      <c r="N89" s="44" t="s">
        <v>432</v>
      </c>
      <c r="O89" s="40" t="s">
        <v>53</v>
      </c>
      <c r="P89" s="45">
        <v>8.8328000000000004E-2</v>
      </c>
      <c r="Q89" s="46" t="s">
        <v>63</v>
      </c>
      <c r="R89" s="14">
        <v>60</v>
      </c>
      <c r="S89" s="13" t="s">
        <v>38</v>
      </c>
      <c r="T89" s="24" t="s">
        <v>433</v>
      </c>
      <c r="U89" s="47" t="s">
        <v>434</v>
      </c>
    </row>
    <row r="90" spans="1:21" ht="18.75" customHeight="1" x14ac:dyDescent="0.3">
      <c r="A90" s="26">
        <v>86</v>
      </c>
      <c r="B90" s="27" t="s">
        <v>435</v>
      </c>
      <c r="C90" s="28" t="s">
        <v>436</v>
      </c>
      <c r="D90" s="29" t="s">
        <v>437</v>
      </c>
      <c r="E90" s="30">
        <v>1530</v>
      </c>
      <c r="F90" s="30">
        <v>1530</v>
      </c>
      <c r="G90" s="29" t="s">
        <v>26</v>
      </c>
      <c r="H90" s="16" t="str">
        <f ca="1">IFERROR(googlefinance("NSE:LGEINDIA","price"),"–")</f>
        <v>–</v>
      </c>
      <c r="I90" s="31">
        <v>1600</v>
      </c>
      <c r="J90" s="32">
        <v>1640</v>
      </c>
      <c r="K90" s="58" t="s">
        <v>83</v>
      </c>
      <c r="L90" s="33">
        <v>1490</v>
      </c>
      <c r="M90" s="39" t="s">
        <v>103</v>
      </c>
      <c r="N90" s="39" t="s">
        <v>438</v>
      </c>
      <c r="O90" s="40" t="s">
        <v>53</v>
      </c>
      <c r="P90" s="41">
        <v>7.1895000000000001E-2</v>
      </c>
      <c r="Q90" s="42" t="s">
        <v>105</v>
      </c>
      <c r="R90" s="29">
        <v>45</v>
      </c>
      <c r="S90" s="28" t="s">
        <v>158</v>
      </c>
      <c r="T90" s="37" t="s">
        <v>439</v>
      </c>
      <c r="U90" s="43" t="s">
        <v>440</v>
      </c>
    </row>
    <row r="91" spans="1:21" ht="18.75" customHeight="1" x14ac:dyDescent="0.3">
      <c r="A91" s="11">
        <v>87</v>
      </c>
      <c r="B91" s="12" t="s">
        <v>441</v>
      </c>
      <c r="C91" s="13" t="s">
        <v>441</v>
      </c>
      <c r="D91" s="14" t="s">
        <v>437</v>
      </c>
      <c r="E91" s="15">
        <v>1000</v>
      </c>
      <c r="F91" s="15">
        <v>1000</v>
      </c>
      <c r="G91" s="14" t="s">
        <v>26</v>
      </c>
      <c r="H91" s="16" t="str">
        <f ca="1">IFERROR(googlefinance("NSE:NSDL","price"),"–")</f>
        <v>–</v>
      </c>
      <c r="I91" s="17">
        <v>1050</v>
      </c>
      <c r="J91" s="18">
        <v>1100</v>
      </c>
      <c r="K91" s="48" t="s">
        <v>83</v>
      </c>
      <c r="L91" s="19">
        <v>980</v>
      </c>
      <c r="M91" s="44" t="s">
        <v>103</v>
      </c>
      <c r="N91" s="44" t="s">
        <v>442</v>
      </c>
      <c r="O91" s="40" t="s">
        <v>53</v>
      </c>
      <c r="P91" s="45">
        <v>0.1</v>
      </c>
      <c r="Q91" s="46" t="s">
        <v>105</v>
      </c>
      <c r="R91" s="14">
        <v>45</v>
      </c>
      <c r="S91" s="13" t="s">
        <v>97</v>
      </c>
      <c r="T91" s="24" t="s">
        <v>443</v>
      </c>
      <c r="U91" s="47" t="s">
        <v>440</v>
      </c>
    </row>
    <row r="92" spans="1:21" ht="18.75" customHeight="1" x14ac:dyDescent="0.3">
      <c r="A92" s="26">
        <v>88</v>
      </c>
      <c r="B92" s="27" t="s">
        <v>444</v>
      </c>
      <c r="C92" s="28" t="s">
        <v>445</v>
      </c>
      <c r="D92" s="29" t="s">
        <v>437</v>
      </c>
      <c r="E92" s="30">
        <v>385</v>
      </c>
      <c r="F92" s="30">
        <v>385</v>
      </c>
      <c r="G92" s="29" t="s">
        <v>26</v>
      </c>
      <c r="H92" s="16" t="str">
        <f ca="1">IFERROR(googlefinance("NSE:AMAGI","price"),"–")</f>
        <v>–</v>
      </c>
      <c r="I92" s="31">
        <v>400</v>
      </c>
      <c r="J92" s="32">
        <v>405</v>
      </c>
      <c r="K92" s="32">
        <v>425</v>
      </c>
      <c r="L92" s="33">
        <v>375</v>
      </c>
      <c r="M92" s="39" t="s">
        <v>61</v>
      </c>
      <c r="N92" s="39" t="s">
        <v>446</v>
      </c>
      <c r="O92" s="40" t="s">
        <v>53</v>
      </c>
      <c r="P92" s="41">
        <v>0.103896</v>
      </c>
      <c r="Q92" s="42" t="s">
        <v>63</v>
      </c>
      <c r="R92" s="29">
        <v>60</v>
      </c>
      <c r="S92" s="28" t="s">
        <v>188</v>
      </c>
      <c r="T92" s="37" t="s">
        <v>447</v>
      </c>
      <c r="U92" s="43" t="s">
        <v>448</v>
      </c>
    </row>
    <row r="93" spans="1:21" ht="18.75" customHeight="1" x14ac:dyDescent="0.3">
      <c r="A93" s="11">
        <v>89</v>
      </c>
      <c r="B93" s="12" t="s">
        <v>449</v>
      </c>
      <c r="C93" s="13" t="s">
        <v>450</v>
      </c>
      <c r="D93" s="14" t="s">
        <v>451</v>
      </c>
      <c r="E93" s="15">
        <v>165</v>
      </c>
      <c r="F93" s="15">
        <v>165</v>
      </c>
      <c r="G93" s="14" t="s">
        <v>26</v>
      </c>
      <c r="H93" s="16" t="str">
        <f ca="1">IFERROR(googlefinance("NSE:STLTECH","price"),"–")</f>
        <v>–</v>
      </c>
      <c r="I93" s="17">
        <v>200</v>
      </c>
      <c r="J93" s="18">
        <v>250</v>
      </c>
      <c r="K93" s="18">
        <v>295</v>
      </c>
      <c r="L93" s="19">
        <v>150</v>
      </c>
      <c r="M93" s="44" t="s">
        <v>61</v>
      </c>
      <c r="N93" s="44" t="s">
        <v>452</v>
      </c>
      <c r="O93" s="40" t="s">
        <v>53</v>
      </c>
      <c r="P93" s="45">
        <v>0.787879</v>
      </c>
      <c r="Q93" s="46" t="s">
        <v>63</v>
      </c>
      <c r="R93" s="14">
        <v>60</v>
      </c>
      <c r="S93" s="13" t="s">
        <v>137</v>
      </c>
      <c r="T93" s="24" t="s">
        <v>453</v>
      </c>
      <c r="U93" s="47" t="s">
        <v>454</v>
      </c>
    </row>
    <row r="94" spans="1:21" ht="18.75" customHeight="1" x14ac:dyDescent="0.3">
      <c r="A94" s="26">
        <v>90</v>
      </c>
      <c r="B94" s="27" t="s">
        <v>455</v>
      </c>
      <c r="C94" s="28" t="s">
        <v>456</v>
      </c>
      <c r="D94" s="29" t="s">
        <v>451</v>
      </c>
      <c r="E94" s="30">
        <v>1625</v>
      </c>
      <c r="F94" s="30">
        <v>1625</v>
      </c>
      <c r="G94" s="29" t="s">
        <v>26</v>
      </c>
      <c r="H94" s="16" t="str">
        <f ca="1">IFERROR(googlefinance("NSE:BHARATFORG","price"),"–")</f>
        <v>–</v>
      </c>
      <c r="I94" s="31">
        <v>1890</v>
      </c>
      <c r="J94" s="32">
        <v>2100</v>
      </c>
      <c r="K94" s="32">
        <v>2400</v>
      </c>
      <c r="L94" s="33">
        <v>1550</v>
      </c>
      <c r="M94" s="39" t="s">
        <v>51</v>
      </c>
      <c r="N94" s="39" t="s">
        <v>457</v>
      </c>
      <c r="O94" s="40" t="s">
        <v>53</v>
      </c>
      <c r="P94" s="41">
        <v>0.163077</v>
      </c>
      <c r="Q94" s="42" t="s">
        <v>54</v>
      </c>
      <c r="R94" s="29">
        <v>30</v>
      </c>
      <c r="S94" s="28" t="s">
        <v>45</v>
      </c>
      <c r="T94" s="37" t="s">
        <v>458</v>
      </c>
      <c r="U94" s="43" t="s">
        <v>459</v>
      </c>
    </row>
    <row r="95" spans="1:21" ht="18.75" customHeight="1" x14ac:dyDescent="0.3">
      <c r="A95" s="11">
        <v>91</v>
      </c>
      <c r="B95" s="12" t="s">
        <v>460</v>
      </c>
      <c r="C95" s="13" t="s">
        <v>461</v>
      </c>
      <c r="D95" s="14" t="s">
        <v>451</v>
      </c>
      <c r="E95" s="15">
        <v>865</v>
      </c>
      <c r="F95" s="15">
        <v>865</v>
      </c>
      <c r="G95" s="14" t="s">
        <v>26</v>
      </c>
      <c r="H95" s="16" t="str">
        <f ca="1">IFERROR(googlefinance("NSE:ABSLMF","price"),"–")</f>
        <v>–</v>
      </c>
      <c r="I95" s="17">
        <v>1000</v>
      </c>
      <c r="J95" s="18">
        <v>1100</v>
      </c>
      <c r="K95" s="18">
        <v>1200</v>
      </c>
      <c r="L95" s="19">
        <v>800</v>
      </c>
      <c r="M95" s="44" t="s">
        <v>51</v>
      </c>
      <c r="N95" s="44" t="s">
        <v>462</v>
      </c>
      <c r="O95" s="40" t="s">
        <v>53</v>
      </c>
      <c r="P95" s="45">
        <v>0.15606900000000001</v>
      </c>
      <c r="Q95" s="46" t="s">
        <v>54</v>
      </c>
      <c r="R95" s="14">
        <v>30</v>
      </c>
      <c r="S95" s="13" t="s">
        <v>345</v>
      </c>
      <c r="T95" s="24" t="s">
        <v>463</v>
      </c>
      <c r="U95" s="47" t="s">
        <v>459</v>
      </c>
    </row>
    <row r="96" spans="1:21" ht="18.75" customHeight="1" x14ac:dyDescent="0.3">
      <c r="A96" s="26">
        <v>92</v>
      </c>
      <c r="B96" s="27" t="s">
        <v>464</v>
      </c>
      <c r="C96" s="28" t="s">
        <v>465</v>
      </c>
      <c r="D96" s="29" t="s">
        <v>451</v>
      </c>
      <c r="E96" s="30">
        <v>175</v>
      </c>
      <c r="F96" s="30">
        <v>175</v>
      </c>
      <c r="G96" s="29" t="s">
        <v>26</v>
      </c>
      <c r="H96" s="16" t="str">
        <f ca="1">IFERROR(googlefinance("NSE:BELRISE","price"),"–")</f>
        <v>–</v>
      </c>
      <c r="I96" s="31">
        <v>196</v>
      </c>
      <c r="J96" s="32">
        <v>210</v>
      </c>
      <c r="K96" s="32">
        <v>213</v>
      </c>
      <c r="L96" s="33">
        <v>165</v>
      </c>
      <c r="M96" s="39" t="s">
        <v>61</v>
      </c>
      <c r="N96" s="39" t="s">
        <v>466</v>
      </c>
      <c r="O96" s="40" t="s">
        <v>53</v>
      </c>
      <c r="P96" s="41">
        <v>0.217143</v>
      </c>
      <c r="Q96" s="42" t="s">
        <v>63</v>
      </c>
      <c r="R96" s="29">
        <v>60</v>
      </c>
      <c r="S96" s="28" t="s">
        <v>45</v>
      </c>
      <c r="T96" s="37" t="s">
        <v>467</v>
      </c>
      <c r="U96" s="43" t="s">
        <v>454</v>
      </c>
    </row>
    <row r="97" spans="1:21" ht="18.75" customHeight="1" x14ac:dyDescent="0.3">
      <c r="A97" s="11">
        <v>93</v>
      </c>
      <c r="B97" s="12" t="s">
        <v>468</v>
      </c>
      <c r="C97" s="13" t="s">
        <v>469</v>
      </c>
      <c r="D97" s="14" t="s">
        <v>451</v>
      </c>
      <c r="E97" s="15">
        <v>3065</v>
      </c>
      <c r="F97" s="15">
        <v>3065</v>
      </c>
      <c r="G97" s="14" t="s">
        <v>26</v>
      </c>
      <c r="H97" s="16" t="str">
        <f ca="1">IFERROR(googlefinance("NSE:THERMAX","price"),"–")</f>
        <v>–</v>
      </c>
      <c r="I97" s="17">
        <v>3400</v>
      </c>
      <c r="J97" s="18">
        <v>3600</v>
      </c>
      <c r="K97" s="18">
        <v>4065</v>
      </c>
      <c r="L97" s="19">
        <v>2950</v>
      </c>
      <c r="M97" s="44" t="s">
        <v>61</v>
      </c>
      <c r="N97" s="44" t="s">
        <v>470</v>
      </c>
      <c r="O97" s="40" t="s">
        <v>53</v>
      </c>
      <c r="P97" s="45">
        <v>0.326264</v>
      </c>
      <c r="Q97" s="46" t="s">
        <v>63</v>
      </c>
      <c r="R97" s="14">
        <v>60</v>
      </c>
      <c r="S97" s="13" t="s">
        <v>110</v>
      </c>
      <c r="T97" s="24" t="s">
        <v>471</v>
      </c>
      <c r="U97" s="47" t="s">
        <v>454</v>
      </c>
    </row>
    <row r="98" spans="1:21" ht="18.75" customHeight="1" x14ac:dyDescent="0.3">
      <c r="A98" s="26">
        <v>94</v>
      </c>
      <c r="B98" s="27" t="s">
        <v>472</v>
      </c>
      <c r="C98" s="28" t="s">
        <v>473</v>
      </c>
      <c r="D98" s="29" t="s">
        <v>451</v>
      </c>
      <c r="E98" s="30">
        <v>1330</v>
      </c>
      <c r="F98" s="30">
        <v>1330</v>
      </c>
      <c r="G98" s="29" t="s">
        <v>26</v>
      </c>
      <c r="H98" s="16" t="str">
        <f ca="1">IFERROR(googlefinance("NSE:GESHIP","price"),"–")</f>
        <v>–</v>
      </c>
      <c r="I98" s="31">
        <v>1400</v>
      </c>
      <c r="J98" s="32">
        <v>1450</v>
      </c>
      <c r="K98" s="32">
        <v>1580</v>
      </c>
      <c r="L98" s="33">
        <v>1290</v>
      </c>
      <c r="M98" s="39" t="s">
        <v>61</v>
      </c>
      <c r="N98" s="39" t="s">
        <v>474</v>
      </c>
      <c r="O98" s="40" t="s">
        <v>53</v>
      </c>
      <c r="P98" s="41">
        <v>0.18797</v>
      </c>
      <c r="Q98" s="42" t="s">
        <v>63</v>
      </c>
      <c r="R98" s="29">
        <v>60</v>
      </c>
      <c r="S98" s="28" t="s">
        <v>475</v>
      </c>
      <c r="T98" s="37" t="s">
        <v>476</v>
      </c>
      <c r="U98" s="43" t="s">
        <v>454</v>
      </c>
    </row>
    <row r="99" spans="1:21" ht="18.75" customHeight="1" x14ac:dyDescent="0.3">
      <c r="A99" s="11">
        <v>95</v>
      </c>
      <c r="B99" s="12" t="s">
        <v>145</v>
      </c>
      <c r="C99" s="13" t="s">
        <v>145</v>
      </c>
      <c r="D99" s="14" t="s">
        <v>451</v>
      </c>
      <c r="E99" s="15">
        <v>185</v>
      </c>
      <c r="F99" s="15">
        <v>185</v>
      </c>
      <c r="G99" s="14" t="s">
        <v>26</v>
      </c>
      <c r="H99" s="16" t="str">
        <f ca="1">IFERROR(googlefinance("NSE:MRPL","price"),"–")</f>
        <v>–</v>
      </c>
      <c r="I99" s="17">
        <v>190</v>
      </c>
      <c r="J99" s="18">
        <v>200</v>
      </c>
      <c r="K99" s="18">
        <v>220</v>
      </c>
      <c r="L99" s="19">
        <v>172</v>
      </c>
      <c r="M99" s="20" t="s">
        <v>27</v>
      </c>
      <c r="N99" s="20" t="s">
        <v>477</v>
      </c>
      <c r="O99" s="21" t="s">
        <v>29</v>
      </c>
      <c r="P99" s="22">
        <v>-7.0269999999999999E-2</v>
      </c>
      <c r="Q99" s="23" t="s">
        <v>30</v>
      </c>
      <c r="R99" s="14">
        <v>15</v>
      </c>
      <c r="S99" s="13" t="s">
        <v>148</v>
      </c>
      <c r="T99" s="24" t="s">
        <v>478</v>
      </c>
      <c r="U99" s="25" t="s">
        <v>479</v>
      </c>
    </row>
    <row r="100" spans="1:21" ht="18.75" customHeight="1" x14ac:dyDescent="0.3">
      <c r="A100" s="26">
        <v>96</v>
      </c>
      <c r="B100" s="27" t="s">
        <v>480</v>
      </c>
      <c r="C100" s="28" t="s">
        <v>481</v>
      </c>
      <c r="D100" s="29" t="s">
        <v>482</v>
      </c>
      <c r="E100" s="30">
        <v>2085</v>
      </c>
      <c r="F100" s="30">
        <v>2085</v>
      </c>
      <c r="G100" s="29" t="s">
        <v>26</v>
      </c>
      <c r="H100" s="16" t="str">
        <f ca="1">IFERROR(googlefinance("NSE:GLENMARK","price"),"–")</f>
        <v>–</v>
      </c>
      <c r="I100" s="31">
        <v>2400</v>
      </c>
      <c r="J100" s="58" t="s">
        <v>83</v>
      </c>
      <c r="K100" s="58" t="s">
        <v>83</v>
      </c>
      <c r="L100" s="33">
        <v>2000</v>
      </c>
      <c r="M100" s="39" t="s">
        <v>51</v>
      </c>
      <c r="N100" s="39" t="s">
        <v>483</v>
      </c>
      <c r="O100" s="40" t="s">
        <v>53</v>
      </c>
      <c r="P100" s="41">
        <v>0.15107899999999999</v>
      </c>
      <c r="Q100" s="42" t="s">
        <v>54</v>
      </c>
      <c r="R100" s="29">
        <v>30</v>
      </c>
      <c r="S100" s="28" t="s">
        <v>55</v>
      </c>
      <c r="T100" s="37" t="s">
        <v>484</v>
      </c>
      <c r="U100" s="43" t="s">
        <v>485</v>
      </c>
    </row>
    <row r="101" spans="1:21" ht="18.75" customHeight="1" x14ac:dyDescent="0.3">
      <c r="A101" s="11">
        <v>97</v>
      </c>
      <c r="B101" s="12" t="s">
        <v>486</v>
      </c>
      <c r="C101" s="13" t="s">
        <v>487</v>
      </c>
      <c r="D101" s="14" t="s">
        <v>488</v>
      </c>
      <c r="E101" s="15">
        <v>148</v>
      </c>
      <c r="F101" s="15">
        <v>148</v>
      </c>
      <c r="G101" s="14" t="s">
        <v>26</v>
      </c>
      <c r="H101" s="16" t="str">
        <f ca="1">IFERROR(googlefinance("NSE:SAMMANCAP","price"),"–")</f>
        <v>–</v>
      </c>
      <c r="I101" s="17">
        <v>160</v>
      </c>
      <c r="J101" s="18">
        <v>165</v>
      </c>
      <c r="K101" s="48" t="s">
        <v>83</v>
      </c>
      <c r="L101" s="19">
        <v>144</v>
      </c>
      <c r="M101" s="44" t="s">
        <v>103</v>
      </c>
      <c r="N101" s="44" t="s">
        <v>489</v>
      </c>
      <c r="O101" s="40" t="s">
        <v>53</v>
      </c>
      <c r="P101" s="45">
        <v>0.11486499999999999</v>
      </c>
      <c r="Q101" s="46" t="s">
        <v>105</v>
      </c>
      <c r="R101" s="14">
        <v>45</v>
      </c>
      <c r="S101" s="13" t="s">
        <v>97</v>
      </c>
      <c r="T101" s="24" t="s">
        <v>490</v>
      </c>
      <c r="U101" s="47" t="s">
        <v>491</v>
      </c>
    </row>
    <row r="102" spans="1:21" ht="18.75" customHeight="1" x14ac:dyDescent="0.3">
      <c r="A102" s="26">
        <v>98</v>
      </c>
      <c r="B102" s="27" t="s">
        <v>492</v>
      </c>
      <c r="C102" s="28" t="s">
        <v>493</v>
      </c>
      <c r="D102" s="29" t="s">
        <v>488</v>
      </c>
      <c r="E102" s="30">
        <v>3000</v>
      </c>
      <c r="F102" s="30">
        <v>3000</v>
      </c>
      <c r="G102" s="29" t="s">
        <v>26</v>
      </c>
      <c r="H102" s="16" t="str">
        <f ca="1">IFERROR(googlefinance("NSE:AJANTPHARM","price"),"–")</f>
        <v>–</v>
      </c>
      <c r="I102" s="31">
        <v>3300</v>
      </c>
      <c r="J102" s="32">
        <v>3800</v>
      </c>
      <c r="K102" s="32">
        <v>4000</v>
      </c>
      <c r="L102" s="33">
        <v>2800</v>
      </c>
      <c r="M102" s="54" t="str">
        <f ca="1">IF(OR(H102="",H102="–"),"–",IFERROR(IF(H102&lt;L102,"🔴 SL Hit",IF(AND(ISNUMBER(K102),H102&gt;=K102),"✅ T3 Hit",IF(AND(ISNUMBER(J102),H102&gt;=J102),"✅ T2 Hit",IF(AND(ISNUMBER(I102),H102&gt;=I102),"✅ T1 Hit",IF(AND(ISNUMBER(E102),H102&gt;=E102),"🟡 In Buy Zone","📈 Monitoring"))))),"-"))</f>
        <v>–</v>
      </c>
      <c r="N102" s="55" t="str">
        <f ca="1">IF(M102="🟡 In Buy Zone","🔔 BUY NOW!",IF(M102="🔴 SL Hit","⚠️ EXIT NOW!","📊 Monitoring"))</f>
        <v>📊 Monitoring</v>
      </c>
      <c r="O102" s="51" t="s">
        <v>84</v>
      </c>
      <c r="P102" s="56" t="str">
        <f ca="1">IF(OR(ISBLANK(H102),H102="–",H102="N/A",NOT(ISNUMBER(H102)),ISBLANK(E102),E102=0),"–",(H102-E102)/E102)</f>
        <v>–</v>
      </c>
      <c r="Q102" s="57" t="s">
        <v>84</v>
      </c>
      <c r="R102" s="29">
        <v>101</v>
      </c>
      <c r="S102" s="28" t="s">
        <v>55</v>
      </c>
      <c r="T102" s="37" t="s">
        <v>494</v>
      </c>
      <c r="U102" s="29" t="s">
        <v>87</v>
      </c>
    </row>
    <row r="103" spans="1:21" ht="18.75" customHeight="1" x14ac:dyDescent="0.3">
      <c r="A103" s="11">
        <v>99</v>
      </c>
      <c r="B103" s="12" t="s">
        <v>495</v>
      </c>
      <c r="C103" s="13" t="s">
        <v>496</v>
      </c>
      <c r="D103" s="14" t="s">
        <v>497</v>
      </c>
      <c r="E103" s="15">
        <v>580</v>
      </c>
      <c r="F103" s="15">
        <v>580</v>
      </c>
      <c r="G103" s="14" t="s">
        <v>26</v>
      </c>
      <c r="H103" s="16" t="str">
        <f ca="1">IFERROR(googlefinance("NSE:ANTELOPUS","price"),"–")</f>
        <v>–</v>
      </c>
      <c r="I103" s="17">
        <v>620</v>
      </c>
      <c r="J103" s="18">
        <v>650</v>
      </c>
      <c r="K103" s="18">
        <v>700</v>
      </c>
      <c r="L103" s="19">
        <v>560</v>
      </c>
      <c r="M103" s="44" t="s">
        <v>61</v>
      </c>
      <c r="N103" s="44" t="s">
        <v>498</v>
      </c>
      <c r="O103" s="40" t="s">
        <v>53</v>
      </c>
      <c r="P103" s="45">
        <v>0.206897</v>
      </c>
      <c r="Q103" s="46" t="s">
        <v>63</v>
      </c>
      <c r="R103" s="14">
        <v>60</v>
      </c>
      <c r="S103" s="13" t="s">
        <v>38</v>
      </c>
      <c r="T103" s="24" t="s">
        <v>499</v>
      </c>
      <c r="U103" s="47" t="s">
        <v>500</v>
      </c>
    </row>
    <row r="104" spans="1:21" ht="18.75" customHeight="1" x14ac:dyDescent="0.3">
      <c r="A104" s="26">
        <v>100</v>
      </c>
      <c r="B104" s="27" t="s">
        <v>501</v>
      </c>
      <c r="C104" s="28" t="s">
        <v>501</v>
      </c>
      <c r="D104" s="29" t="s">
        <v>502</v>
      </c>
      <c r="E104" s="30">
        <v>3120</v>
      </c>
      <c r="F104" s="30">
        <v>3120</v>
      </c>
      <c r="G104" s="29" t="s">
        <v>26</v>
      </c>
      <c r="H104" s="16" t="str">
        <f ca="1">IFERROR(googlefinance("NSE:TCS","price"),"–")</f>
        <v>–</v>
      </c>
      <c r="I104" s="31">
        <v>3260</v>
      </c>
      <c r="J104" s="32">
        <v>3320</v>
      </c>
      <c r="K104" s="32">
        <v>3440</v>
      </c>
      <c r="L104" s="33">
        <v>3040</v>
      </c>
      <c r="M104" s="39" t="s">
        <v>61</v>
      </c>
      <c r="N104" s="39" t="s">
        <v>503</v>
      </c>
      <c r="O104" s="40" t="s">
        <v>53</v>
      </c>
      <c r="P104" s="41">
        <v>0.102564</v>
      </c>
      <c r="Q104" s="42" t="s">
        <v>63</v>
      </c>
      <c r="R104" s="29">
        <v>60</v>
      </c>
      <c r="S104" s="28" t="s">
        <v>38</v>
      </c>
      <c r="T104" s="37" t="s">
        <v>504</v>
      </c>
      <c r="U104" s="43" t="s">
        <v>505</v>
      </c>
    </row>
    <row r="105" spans="1:21" ht="18.75" customHeight="1" x14ac:dyDescent="0.3">
      <c r="A105" s="11">
        <v>101</v>
      </c>
      <c r="B105" s="12" t="s">
        <v>139</v>
      </c>
      <c r="C105" s="13" t="s">
        <v>140</v>
      </c>
      <c r="D105" s="14" t="s">
        <v>502</v>
      </c>
      <c r="E105" s="15">
        <v>2590</v>
      </c>
      <c r="F105" s="15">
        <v>2590</v>
      </c>
      <c r="G105" s="14" t="s">
        <v>26</v>
      </c>
      <c r="H105" s="16" t="str">
        <f ca="1">IFERROR(googlefinance("NSE:BSE","price"),"–")</f>
        <v>–</v>
      </c>
      <c r="I105" s="17">
        <v>2700</v>
      </c>
      <c r="J105" s="18">
        <v>2800</v>
      </c>
      <c r="K105" s="18">
        <v>3000</v>
      </c>
      <c r="L105" s="19">
        <v>2560</v>
      </c>
      <c r="M105" s="44" t="s">
        <v>61</v>
      </c>
      <c r="N105" s="44" t="s">
        <v>506</v>
      </c>
      <c r="O105" s="40" t="s">
        <v>53</v>
      </c>
      <c r="P105" s="45">
        <v>0.158301</v>
      </c>
      <c r="Q105" s="46" t="s">
        <v>63</v>
      </c>
      <c r="R105" s="14">
        <v>60</v>
      </c>
      <c r="S105" s="13" t="s">
        <v>97</v>
      </c>
      <c r="T105" s="24" t="s">
        <v>507</v>
      </c>
      <c r="U105" s="47" t="s">
        <v>505</v>
      </c>
    </row>
    <row r="106" spans="1:21" ht="18.75" customHeight="1" x14ac:dyDescent="0.3">
      <c r="A106" s="26">
        <v>102</v>
      </c>
      <c r="B106" s="27" t="s">
        <v>508</v>
      </c>
      <c r="C106" s="28" t="s">
        <v>508</v>
      </c>
      <c r="D106" s="29" t="s">
        <v>509</v>
      </c>
      <c r="E106" s="30">
        <v>95</v>
      </c>
      <c r="F106" s="30">
        <v>95</v>
      </c>
      <c r="G106" s="29" t="s">
        <v>26</v>
      </c>
      <c r="H106" s="16" t="str">
        <f ca="1">IFERROR(googlefinance("NSE:IRFC","price"),"–")</f>
        <v>–</v>
      </c>
      <c r="I106" s="31">
        <v>100</v>
      </c>
      <c r="J106" s="32">
        <v>105</v>
      </c>
      <c r="K106" s="32">
        <v>112</v>
      </c>
      <c r="L106" s="33">
        <v>93</v>
      </c>
      <c r="M106" s="39" t="s">
        <v>51</v>
      </c>
      <c r="N106" s="39" t="s">
        <v>510</v>
      </c>
      <c r="O106" s="40" t="s">
        <v>53</v>
      </c>
      <c r="P106" s="41">
        <v>5.2631999999999998E-2</v>
      </c>
      <c r="Q106" s="42" t="s">
        <v>54</v>
      </c>
      <c r="R106" s="29">
        <v>30</v>
      </c>
      <c r="S106" s="28" t="s">
        <v>64</v>
      </c>
      <c r="T106" s="37" t="s">
        <v>511</v>
      </c>
      <c r="U106" s="43" t="s">
        <v>512</v>
      </c>
    </row>
    <row r="107" spans="1:21" ht="18.75" customHeight="1" x14ac:dyDescent="0.3">
      <c r="A107" s="11">
        <v>103</v>
      </c>
      <c r="B107" s="12" t="s">
        <v>513</v>
      </c>
      <c r="C107" s="13" t="s">
        <v>513</v>
      </c>
      <c r="D107" s="14" t="s">
        <v>514</v>
      </c>
      <c r="E107" s="15">
        <v>100</v>
      </c>
      <c r="F107" s="15">
        <v>100</v>
      </c>
      <c r="G107" s="14" t="s">
        <v>26</v>
      </c>
      <c r="H107" s="16" t="str">
        <f ca="1">IFERROR(googlefinance("NSE:IREDA","price"),"–")</f>
        <v>–</v>
      </c>
      <c r="I107" s="17">
        <v>130</v>
      </c>
      <c r="J107" s="18">
        <v>160</v>
      </c>
      <c r="K107" s="18">
        <v>200</v>
      </c>
      <c r="L107" s="19">
        <v>92</v>
      </c>
      <c r="M107" s="44" t="s">
        <v>51</v>
      </c>
      <c r="N107" s="44" t="s">
        <v>515</v>
      </c>
      <c r="O107" s="40" t="s">
        <v>53</v>
      </c>
      <c r="P107" s="45">
        <v>0.3</v>
      </c>
      <c r="Q107" s="46" t="s">
        <v>54</v>
      </c>
      <c r="R107" s="14">
        <v>30</v>
      </c>
      <c r="S107" s="13" t="s">
        <v>64</v>
      </c>
      <c r="T107" s="24" t="s">
        <v>516</v>
      </c>
      <c r="U107" s="47" t="s">
        <v>517</v>
      </c>
    </row>
    <row r="108" spans="1:21" ht="18.75" customHeight="1" x14ac:dyDescent="0.3">
      <c r="A108" s="26">
        <v>104</v>
      </c>
      <c r="B108" s="27" t="s">
        <v>518</v>
      </c>
      <c r="C108" s="28" t="s">
        <v>519</v>
      </c>
      <c r="D108" s="29" t="s">
        <v>520</v>
      </c>
      <c r="E108" s="30">
        <v>1085</v>
      </c>
      <c r="F108" s="30">
        <v>1085</v>
      </c>
      <c r="G108" s="29" t="s">
        <v>26</v>
      </c>
      <c r="H108" s="16" t="str">
        <f ca="1">IFERROR(googlefinance("NSE:JINDALSTEEL","price"),"–")</f>
        <v>–</v>
      </c>
      <c r="I108" s="31">
        <v>1150</v>
      </c>
      <c r="J108" s="32">
        <v>1200</v>
      </c>
      <c r="K108" s="32">
        <v>1250</v>
      </c>
      <c r="L108" s="33">
        <v>950</v>
      </c>
      <c r="M108" s="39" t="s">
        <v>61</v>
      </c>
      <c r="N108" s="39" t="s">
        <v>521</v>
      </c>
      <c r="O108" s="40" t="s">
        <v>53</v>
      </c>
      <c r="P108" s="41">
        <v>0.15207399999999999</v>
      </c>
      <c r="Q108" s="42" t="s">
        <v>63</v>
      </c>
      <c r="R108" s="29">
        <v>60</v>
      </c>
      <c r="S108" s="28" t="s">
        <v>75</v>
      </c>
      <c r="T108" s="37" t="s">
        <v>359</v>
      </c>
      <c r="U108" s="43" t="s">
        <v>522</v>
      </c>
    </row>
    <row r="109" spans="1:21" ht="18.75" customHeight="1" x14ac:dyDescent="0.3">
      <c r="A109" s="11">
        <v>105</v>
      </c>
      <c r="B109" s="12" t="s">
        <v>523</v>
      </c>
      <c r="C109" s="13" t="s">
        <v>524</v>
      </c>
      <c r="D109" s="14" t="s">
        <v>520</v>
      </c>
      <c r="E109" s="15">
        <v>1450</v>
      </c>
      <c r="F109" s="15">
        <v>1450</v>
      </c>
      <c r="G109" s="14" t="s">
        <v>26</v>
      </c>
      <c r="H109" s="16" t="str">
        <f ca="1">IFERROR(googlefinance("NSE:OBEROIRLTY","price"),"–")</f>
        <v>–</v>
      </c>
      <c r="I109" s="17">
        <v>1550</v>
      </c>
      <c r="J109" s="18">
        <v>1650</v>
      </c>
      <c r="K109" s="18">
        <v>1700</v>
      </c>
      <c r="L109" s="19">
        <v>1400</v>
      </c>
      <c r="M109" s="44" t="s">
        <v>61</v>
      </c>
      <c r="N109" s="44" t="s">
        <v>525</v>
      </c>
      <c r="O109" s="40" t="s">
        <v>53</v>
      </c>
      <c r="P109" s="45">
        <v>0.17241400000000001</v>
      </c>
      <c r="Q109" s="46" t="s">
        <v>63</v>
      </c>
      <c r="R109" s="14">
        <v>60</v>
      </c>
      <c r="S109" s="13" t="s">
        <v>526</v>
      </c>
      <c r="T109" s="24" t="s">
        <v>527</v>
      </c>
      <c r="U109" s="47" t="s">
        <v>522</v>
      </c>
    </row>
    <row r="110" spans="1:21" ht="18.75" customHeight="1" x14ac:dyDescent="0.3">
      <c r="A110" s="26">
        <v>106</v>
      </c>
      <c r="B110" s="27" t="s">
        <v>528</v>
      </c>
      <c r="C110" s="28" t="s">
        <v>529</v>
      </c>
      <c r="D110" s="29" t="s">
        <v>520</v>
      </c>
      <c r="E110" s="30">
        <v>23</v>
      </c>
      <c r="F110" s="30">
        <v>23</v>
      </c>
      <c r="G110" s="29" t="s">
        <v>26</v>
      </c>
      <c r="H110" s="16" t="str">
        <f ca="1">IFERROR(googlefinance("NSE:RENUKA","price"),"–")</f>
        <v>–</v>
      </c>
      <c r="I110" s="31">
        <v>25</v>
      </c>
      <c r="J110" s="32">
        <v>30</v>
      </c>
      <c r="K110" s="32">
        <v>40</v>
      </c>
      <c r="L110" s="33">
        <v>20</v>
      </c>
      <c r="M110" s="39" t="s">
        <v>61</v>
      </c>
      <c r="N110" s="39" t="s">
        <v>530</v>
      </c>
      <c r="O110" s="40" t="s">
        <v>53</v>
      </c>
      <c r="P110" s="41">
        <v>0.73912999999999995</v>
      </c>
      <c r="Q110" s="42" t="s">
        <v>63</v>
      </c>
      <c r="R110" s="29">
        <v>60</v>
      </c>
      <c r="S110" s="28" t="s">
        <v>203</v>
      </c>
      <c r="T110" s="37" t="s">
        <v>531</v>
      </c>
      <c r="U110" s="43" t="s">
        <v>522</v>
      </c>
    </row>
    <row r="111" spans="1:21" ht="18.75" customHeight="1" x14ac:dyDescent="0.3">
      <c r="A111" s="11">
        <v>107</v>
      </c>
      <c r="B111" s="12" t="s">
        <v>532</v>
      </c>
      <c r="C111" s="13" t="s">
        <v>533</v>
      </c>
      <c r="D111" s="14" t="s">
        <v>534</v>
      </c>
      <c r="E111" s="15">
        <v>1665</v>
      </c>
      <c r="F111" s="15">
        <v>1665</v>
      </c>
      <c r="G111" s="14" t="s">
        <v>26</v>
      </c>
      <c r="H111" s="16" t="str">
        <f ca="1">IFERROR(googlefinance("NSE:HCLTECH","price"),"–")</f>
        <v>–</v>
      </c>
      <c r="I111" s="17">
        <v>1750</v>
      </c>
      <c r="J111" s="48" t="s">
        <v>83</v>
      </c>
      <c r="K111" s="48" t="s">
        <v>83</v>
      </c>
      <c r="L111" s="19">
        <v>1600</v>
      </c>
      <c r="M111" s="44" t="s">
        <v>51</v>
      </c>
      <c r="N111" s="44" t="s">
        <v>535</v>
      </c>
      <c r="O111" s="40" t="s">
        <v>53</v>
      </c>
      <c r="P111" s="45">
        <v>5.1050999999999999E-2</v>
      </c>
      <c r="Q111" s="46" t="s">
        <v>54</v>
      </c>
      <c r="R111" s="14">
        <v>30</v>
      </c>
      <c r="S111" s="13" t="s">
        <v>38</v>
      </c>
      <c r="T111" s="24" t="s">
        <v>536</v>
      </c>
      <c r="U111" s="47" t="s">
        <v>412</v>
      </c>
    </row>
    <row r="112" spans="1:21" ht="18.75" customHeight="1" x14ac:dyDescent="0.3">
      <c r="A112" s="26">
        <v>108</v>
      </c>
      <c r="B112" s="27" t="s">
        <v>537</v>
      </c>
      <c r="C112" s="28" t="s">
        <v>538</v>
      </c>
      <c r="D112" s="29" t="s">
        <v>534</v>
      </c>
      <c r="E112" s="30">
        <v>33</v>
      </c>
      <c r="F112" s="30">
        <v>33</v>
      </c>
      <c r="G112" s="29" t="s">
        <v>26</v>
      </c>
      <c r="H112" s="16" t="str">
        <f ca="1">IFERROR(googlefinance("NSE:OLA","price"),"–")</f>
        <v>–</v>
      </c>
      <c r="I112" s="31">
        <v>36</v>
      </c>
      <c r="J112" s="32">
        <v>37.5</v>
      </c>
      <c r="K112" s="32">
        <v>40</v>
      </c>
      <c r="L112" s="33">
        <v>32</v>
      </c>
      <c r="M112" s="39" t="s">
        <v>61</v>
      </c>
      <c r="N112" s="39" t="s">
        <v>539</v>
      </c>
      <c r="O112" s="40" t="s">
        <v>53</v>
      </c>
      <c r="P112" s="41">
        <v>0.212121</v>
      </c>
      <c r="Q112" s="42" t="s">
        <v>63</v>
      </c>
      <c r="R112" s="29">
        <v>60</v>
      </c>
      <c r="S112" s="28" t="s">
        <v>45</v>
      </c>
      <c r="T112" s="37" t="s">
        <v>540</v>
      </c>
      <c r="U112" s="43" t="s">
        <v>541</v>
      </c>
    </row>
    <row r="113" spans="1:21" ht="18.75" customHeight="1" x14ac:dyDescent="0.3">
      <c r="A113" s="11">
        <v>109</v>
      </c>
      <c r="B113" s="12" t="s">
        <v>542</v>
      </c>
      <c r="C113" s="13" t="s">
        <v>543</v>
      </c>
      <c r="D113" s="14" t="s">
        <v>544</v>
      </c>
      <c r="E113" s="15">
        <v>450</v>
      </c>
      <c r="F113" s="15">
        <v>450</v>
      </c>
      <c r="G113" s="14" t="s">
        <v>26</v>
      </c>
      <c r="H113" s="16" t="str">
        <f ca="1">IFERROR(googlefinance("NSE:JARO","price"),"–")</f>
        <v>–</v>
      </c>
      <c r="I113" s="17">
        <v>600</v>
      </c>
      <c r="J113" s="18">
        <v>700</v>
      </c>
      <c r="K113" s="18">
        <v>900</v>
      </c>
      <c r="L113" s="19">
        <v>400</v>
      </c>
      <c r="M113" s="44" t="s">
        <v>51</v>
      </c>
      <c r="N113" s="44" t="s">
        <v>545</v>
      </c>
      <c r="O113" s="40" t="s">
        <v>53</v>
      </c>
      <c r="P113" s="45">
        <v>0.33333299999999999</v>
      </c>
      <c r="Q113" s="46" t="s">
        <v>54</v>
      </c>
      <c r="R113" s="14">
        <v>30</v>
      </c>
      <c r="S113" s="13" t="s">
        <v>546</v>
      </c>
      <c r="T113" s="24" t="s">
        <v>547</v>
      </c>
      <c r="U113" s="47" t="s">
        <v>548</v>
      </c>
    </row>
    <row r="114" spans="1:21" ht="18.75" customHeight="1" x14ac:dyDescent="0.3">
      <c r="A114" s="26">
        <v>110</v>
      </c>
      <c r="B114" s="27" t="s">
        <v>549</v>
      </c>
      <c r="C114" s="28" t="s">
        <v>550</v>
      </c>
      <c r="D114" s="29" t="s">
        <v>551</v>
      </c>
      <c r="E114" s="30">
        <v>1200</v>
      </c>
      <c r="F114" s="30">
        <v>1200</v>
      </c>
      <c r="G114" s="29" t="s">
        <v>26</v>
      </c>
      <c r="H114" s="16" t="str">
        <f ca="1">IFERROR(googlefinance("NSE:COCHINSHIP","price"),"–")</f>
        <v>–</v>
      </c>
      <c r="I114" s="31">
        <v>1600</v>
      </c>
      <c r="J114" s="32">
        <v>1650</v>
      </c>
      <c r="K114" s="32">
        <v>2000</v>
      </c>
      <c r="L114" s="33">
        <v>1050</v>
      </c>
      <c r="M114" s="39" t="s">
        <v>103</v>
      </c>
      <c r="N114" s="39" t="s">
        <v>552</v>
      </c>
      <c r="O114" s="40" t="s">
        <v>53</v>
      </c>
      <c r="P114" s="41">
        <v>0.375</v>
      </c>
      <c r="Q114" s="42" t="s">
        <v>105</v>
      </c>
      <c r="R114" s="29">
        <v>45</v>
      </c>
      <c r="S114" s="28" t="s">
        <v>224</v>
      </c>
      <c r="T114" s="37" t="s">
        <v>553</v>
      </c>
      <c r="U114" s="43" t="s">
        <v>554</v>
      </c>
    </row>
    <row r="115" spans="1:21" ht="18.75" customHeight="1" x14ac:dyDescent="0.3">
      <c r="A115" s="11">
        <v>111</v>
      </c>
      <c r="B115" s="12" t="s">
        <v>518</v>
      </c>
      <c r="C115" s="13" t="s">
        <v>555</v>
      </c>
      <c r="D115" s="14" t="s">
        <v>551</v>
      </c>
      <c r="E115" s="15">
        <v>1075</v>
      </c>
      <c r="F115" s="15">
        <v>1075</v>
      </c>
      <c r="G115" s="14" t="s">
        <v>26</v>
      </c>
      <c r="H115" s="16" t="str">
        <f ca="1">IFERROR(googlefinance("NSE:JINDALSTEEL","price"),"–")</f>
        <v>–</v>
      </c>
      <c r="I115" s="17">
        <v>1250</v>
      </c>
      <c r="J115" s="18">
        <v>1300</v>
      </c>
      <c r="K115" s="18">
        <v>1500</v>
      </c>
      <c r="L115" s="19">
        <v>1028</v>
      </c>
      <c r="M115" s="44" t="s">
        <v>51</v>
      </c>
      <c r="N115" s="44" t="s">
        <v>457</v>
      </c>
      <c r="O115" s="40" t="s">
        <v>53</v>
      </c>
      <c r="P115" s="45">
        <v>0.16279099999999999</v>
      </c>
      <c r="Q115" s="46" t="s">
        <v>54</v>
      </c>
      <c r="R115" s="14">
        <v>30</v>
      </c>
      <c r="S115" s="13" t="s">
        <v>75</v>
      </c>
      <c r="T115" s="24" t="s">
        <v>556</v>
      </c>
      <c r="U115" s="47" t="s">
        <v>557</v>
      </c>
    </row>
    <row r="116" spans="1:21" ht="18.75" customHeight="1" x14ac:dyDescent="0.3">
      <c r="A116" s="26">
        <v>112</v>
      </c>
      <c r="B116" s="27" t="s">
        <v>558</v>
      </c>
      <c r="C116" s="28" t="s">
        <v>559</v>
      </c>
      <c r="D116" s="29" t="s">
        <v>551</v>
      </c>
      <c r="E116" s="30">
        <v>440</v>
      </c>
      <c r="F116" s="30">
        <v>440</v>
      </c>
      <c r="G116" s="29" t="s">
        <v>26</v>
      </c>
      <c r="H116" s="16" t="str">
        <f ca="1">IFERROR(googlefinance("NSE:CHAMBLFERT","price"),"–")</f>
        <v>–</v>
      </c>
      <c r="I116" s="31">
        <v>500</v>
      </c>
      <c r="J116" s="32">
        <v>550</v>
      </c>
      <c r="K116" s="32">
        <v>600</v>
      </c>
      <c r="L116" s="33">
        <v>385</v>
      </c>
      <c r="M116" s="54" t="str">
        <f ca="1">IF(OR(H116="",H116="–"),"–",IFERROR(IF(H116&lt;L116,"🔴 SL Hit",IF(AND(ISNUMBER(K116),H116&gt;=K116),"✅ T3 Hit",IF(AND(ISNUMBER(J116),H116&gt;=J116),"✅ T2 Hit",IF(AND(ISNUMBER(I116),H116&gt;=I116),"✅ T1 Hit",IF(AND(ISNUMBER(E116),H116&gt;=E116),"🟡 In Buy Zone","📈 Monitoring"))))),"-"))</f>
        <v>–</v>
      </c>
      <c r="N116" s="55" t="str">
        <f ca="1">IF(M116="🟡 In Buy Zone","🔔 BUY NOW!",IF(M116="🔴 SL Hit","⚠️ EXIT NOW!","📊 Monitoring"))</f>
        <v>📊 Monitoring</v>
      </c>
      <c r="O116" s="51" t="s">
        <v>84</v>
      </c>
      <c r="P116" s="56" t="str">
        <f ca="1">IF(OR(ISBLANK(H116),H116="–",H116="N/A",NOT(ISNUMBER(H116)),ISBLANK(E116),E116=0),"–",(H116-E116)/E116)</f>
        <v>–</v>
      </c>
      <c r="Q116" s="57" t="s">
        <v>84</v>
      </c>
      <c r="R116" s="29">
        <v>81</v>
      </c>
      <c r="S116" s="28" t="s">
        <v>132</v>
      </c>
      <c r="T116" s="37" t="s">
        <v>560</v>
      </c>
      <c r="U116" s="29" t="s">
        <v>87</v>
      </c>
    </row>
    <row r="117" spans="1:21" ht="18.75" customHeight="1" x14ac:dyDescent="0.3">
      <c r="A117" s="11">
        <v>113</v>
      </c>
      <c r="B117" s="12" t="s">
        <v>561</v>
      </c>
      <c r="C117" s="13" t="s">
        <v>562</v>
      </c>
      <c r="D117" s="14" t="s">
        <v>563</v>
      </c>
      <c r="E117" s="15">
        <v>330</v>
      </c>
      <c r="F117" s="15">
        <v>330</v>
      </c>
      <c r="G117" s="14" t="s">
        <v>26</v>
      </c>
      <c r="H117" s="16" t="str">
        <f ca="1">IFERROR(googlefinance("NSE:PRAJIND","price"),"–")</f>
        <v>–</v>
      </c>
      <c r="I117" s="17">
        <v>385</v>
      </c>
      <c r="J117" s="18">
        <v>425</v>
      </c>
      <c r="K117" s="18">
        <v>450</v>
      </c>
      <c r="L117" s="19">
        <v>314</v>
      </c>
      <c r="M117" s="44" t="s">
        <v>51</v>
      </c>
      <c r="N117" s="44" t="s">
        <v>162</v>
      </c>
      <c r="O117" s="40" t="s">
        <v>53</v>
      </c>
      <c r="P117" s="45">
        <v>0.16666700000000001</v>
      </c>
      <c r="Q117" s="46" t="s">
        <v>54</v>
      </c>
      <c r="R117" s="14">
        <v>30</v>
      </c>
      <c r="S117" s="13" t="s">
        <v>148</v>
      </c>
      <c r="T117" s="24" t="s">
        <v>564</v>
      </c>
      <c r="U117" s="47" t="s">
        <v>565</v>
      </c>
    </row>
    <row r="118" spans="1:21" ht="18.75" customHeight="1" x14ac:dyDescent="0.3">
      <c r="A118" s="26">
        <v>114</v>
      </c>
      <c r="B118" s="27" t="s">
        <v>566</v>
      </c>
      <c r="C118" s="28" t="s">
        <v>567</v>
      </c>
      <c r="D118" s="29" t="s">
        <v>568</v>
      </c>
      <c r="E118" s="30">
        <v>200</v>
      </c>
      <c r="F118" s="30">
        <v>200</v>
      </c>
      <c r="G118" s="29" t="s">
        <v>26</v>
      </c>
      <c r="H118" s="16" t="str">
        <f ca="1">IFERROR(googlefinance("NSE:ANGELONE","price"),"–")</f>
        <v>–</v>
      </c>
      <c r="I118" s="31">
        <v>250</v>
      </c>
      <c r="J118" s="32">
        <v>260</v>
      </c>
      <c r="K118" s="32">
        <v>350</v>
      </c>
      <c r="L118" s="33">
        <v>193</v>
      </c>
      <c r="M118" s="39" t="s">
        <v>103</v>
      </c>
      <c r="N118" s="39" t="s">
        <v>569</v>
      </c>
      <c r="O118" s="40" t="s">
        <v>53</v>
      </c>
      <c r="P118" s="41">
        <v>0.3</v>
      </c>
      <c r="Q118" s="42" t="s">
        <v>105</v>
      </c>
      <c r="R118" s="29">
        <v>45</v>
      </c>
      <c r="S118" s="28" t="s">
        <v>570</v>
      </c>
      <c r="T118" s="37" t="s">
        <v>571</v>
      </c>
      <c r="U118" s="43" t="s">
        <v>572</v>
      </c>
    </row>
    <row r="119" spans="1:21" ht="18.75" customHeight="1" x14ac:dyDescent="0.3">
      <c r="A119" s="11">
        <v>115</v>
      </c>
      <c r="B119" s="12" t="s">
        <v>573</v>
      </c>
      <c r="C119" s="13" t="s">
        <v>574</v>
      </c>
      <c r="D119" s="14" t="s">
        <v>575</v>
      </c>
      <c r="E119" s="15">
        <v>1000</v>
      </c>
      <c r="F119" s="15">
        <v>1000</v>
      </c>
      <c r="G119" s="14" t="s">
        <v>26</v>
      </c>
      <c r="H119" s="16" t="str">
        <f ca="1">IFERROR(googlefinance("NSE:NATCOPHARM","price"),"–")</f>
        <v>–</v>
      </c>
      <c r="I119" s="17">
        <v>1150</v>
      </c>
      <c r="J119" s="18">
        <v>1200</v>
      </c>
      <c r="K119" s="48" t="s">
        <v>83</v>
      </c>
      <c r="L119" s="19">
        <v>975</v>
      </c>
      <c r="M119" s="44" t="s">
        <v>51</v>
      </c>
      <c r="N119" s="44" t="s">
        <v>265</v>
      </c>
      <c r="O119" s="40" t="s">
        <v>53</v>
      </c>
      <c r="P119" s="45">
        <v>0.15</v>
      </c>
      <c r="Q119" s="46" t="s">
        <v>54</v>
      </c>
      <c r="R119" s="14">
        <v>30</v>
      </c>
      <c r="S119" s="13" t="s">
        <v>55</v>
      </c>
      <c r="T119" s="24" t="s">
        <v>576</v>
      </c>
      <c r="U119" s="47" t="s">
        <v>577</v>
      </c>
    </row>
    <row r="120" spans="1:21" ht="18.75" customHeight="1" x14ac:dyDescent="0.3">
      <c r="A120" s="26">
        <v>116</v>
      </c>
      <c r="B120" s="27" t="s">
        <v>578</v>
      </c>
      <c r="C120" s="28" t="s">
        <v>578</v>
      </c>
      <c r="D120" s="29" t="s">
        <v>575</v>
      </c>
      <c r="E120" s="30">
        <v>40</v>
      </c>
      <c r="F120" s="30">
        <v>40</v>
      </c>
      <c r="G120" s="29" t="s">
        <v>26</v>
      </c>
      <c r="H120" s="16" t="str">
        <f ca="1">IFERROR(googlefinance("NSE:EMBDL","price"),"–")</f>
        <v>–</v>
      </c>
      <c r="I120" s="31">
        <v>60</v>
      </c>
      <c r="J120" s="32">
        <v>100</v>
      </c>
      <c r="K120" s="32">
        <v>150</v>
      </c>
      <c r="L120" s="33">
        <v>35</v>
      </c>
      <c r="M120" s="54" t="str">
        <f ca="1">IF(OR(H120="",H120="–"),"–",IFERROR(IF(H120&lt;L120,"🔴 SL Hit",IF(AND(ISNUMBER(K120),H120&gt;=K120),"✅ T3 Hit",IF(AND(ISNUMBER(J120),H120&gt;=J120),"✅ T2 Hit",IF(AND(ISNUMBER(I120),H120&gt;=I120),"✅ T1 Hit",IF(AND(ISNUMBER(E120),H120&gt;=E120),"🟡 In Buy Zone","📈 Monitoring"))))),"-"))</f>
        <v>–</v>
      </c>
      <c r="N120" s="55" t="str">
        <f ca="1">IF(M120="🟡 In Buy Zone","🔔 BUY NOW!",IF(M120="🔴 SL Hit","⚠️ EXIT NOW!","📊 Monitoring"))</f>
        <v>📊 Monitoring</v>
      </c>
      <c r="O120" s="51" t="s">
        <v>84</v>
      </c>
      <c r="P120" s="56" t="str">
        <f ca="1">IF(OR(ISBLANK(H120),H120="–",H120="N/A",NOT(ISNUMBER(H120)),ISBLANK(E120),E120=0),"–",(H120-E120)/E120)</f>
        <v>–</v>
      </c>
      <c r="Q120" s="57" t="s">
        <v>84</v>
      </c>
      <c r="R120" s="29">
        <v>75</v>
      </c>
      <c r="S120" s="28" t="s">
        <v>137</v>
      </c>
      <c r="T120" s="37" t="s">
        <v>579</v>
      </c>
      <c r="U120" s="29" t="s">
        <v>87</v>
      </c>
    </row>
    <row r="121" spans="1:21" ht="18.75" customHeight="1" x14ac:dyDescent="0.3">
      <c r="A121" s="11">
        <v>117</v>
      </c>
      <c r="B121" s="12" t="s">
        <v>580</v>
      </c>
      <c r="C121" s="13" t="s">
        <v>581</v>
      </c>
      <c r="D121" s="14" t="s">
        <v>582</v>
      </c>
      <c r="E121" s="15">
        <v>83</v>
      </c>
      <c r="F121" s="15">
        <v>83</v>
      </c>
      <c r="G121" s="14" t="s">
        <v>26</v>
      </c>
      <c r="H121" s="16" t="str">
        <f ca="1">IFERROR(googlefinance("NSE:NMDC","price"),"–")</f>
        <v>–</v>
      </c>
      <c r="I121" s="17">
        <v>88</v>
      </c>
      <c r="J121" s="18">
        <v>90</v>
      </c>
      <c r="K121" s="18">
        <v>110</v>
      </c>
      <c r="L121" s="19">
        <v>80</v>
      </c>
      <c r="M121" s="44" t="s">
        <v>103</v>
      </c>
      <c r="N121" s="44" t="s">
        <v>583</v>
      </c>
      <c r="O121" s="40" t="s">
        <v>53</v>
      </c>
      <c r="P121" s="45">
        <v>8.4336999999999995E-2</v>
      </c>
      <c r="Q121" s="46" t="s">
        <v>105</v>
      </c>
      <c r="R121" s="14">
        <v>45</v>
      </c>
      <c r="S121" s="13" t="s">
        <v>75</v>
      </c>
      <c r="T121" s="24" t="s">
        <v>584</v>
      </c>
      <c r="U121" s="47" t="s">
        <v>585</v>
      </c>
    </row>
    <row r="122" spans="1:21" ht="18.75" customHeight="1" x14ac:dyDescent="0.3">
      <c r="A122" s="26">
        <v>118</v>
      </c>
      <c r="B122" s="27" t="s">
        <v>580</v>
      </c>
      <c r="C122" s="28" t="s">
        <v>581</v>
      </c>
      <c r="D122" s="29" t="s">
        <v>582</v>
      </c>
      <c r="E122" s="30">
        <v>79</v>
      </c>
      <c r="F122" s="30">
        <v>79</v>
      </c>
      <c r="G122" s="29" t="s">
        <v>26</v>
      </c>
      <c r="H122" s="16" t="str">
        <f ca="1">IFERROR(googlefinance("NSE:NMDC","price"),"–")</f>
        <v>–</v>
      </c>
      <c r="I122" s="31">
        <v>90</v>
      </c>
      <c r="J122" s="32">
        <v>94</v>
      </c>
      <c r="K122" s="32">
        <v>110</v>
      </c>
      <c r="L122" s="33">
        <v>78</v>
      </c>
      <c r="M122" s="39" t="s">
        <v>51</v>
      </c>
      <c r="N122" s="39" t="s">
        <v>586</v>
      </c>
      <c r="O122" s="40" t="s">
        <v>53</v>
      </c>
      <c r="P122" s="41">
        <v>0.139241</v>
      </c>
      <c r="Q122" s="42" t="s">
        <v>54</v>
      </c>
      <c r="R122" s="29">
        <v>30</v>
      </c>
      <c r="S122" s="28" t="s">
        <v>75</v>
      </c>
      <c r="T122" s="37" t="s">
        <v>587</v>
      </c>
      <c r="U122" s="43" t="s">
        <v>448</v>
      </c>
    </row>
    <row r="123" spans="1:21" ht="18.75" customHeight="1" x14ac:dyDescent="0.3">
      <c r="A123" s="11">
        <v>119</v>
      </c>
      <c r="B123" s="12" t="s">
        <v>588</v>
      </c>
      <c r="C123" s="13" t="s">
        <v>589</v>
      </c>
      <c r="D123" s="14" t="s">
        <v>590</v>
      </c>
      <c r="E123" s="15">
        <v>450</v>
      </c>
      <c r="F123" s="15">
        <v>450</v>
      </c>
      <c r="G123" s="14" t="s">
        <v>26</v>
      </c>
      <c r="H123" s="16" t="str">
        <f ca="1">IFERROR(googlefinance("NSE:DELHIVERY","price"),"–")</f>
        <v>–</v>
      </c>
      <c r="I123" s="17">
        <v>500</v>
      </c>
      <c r="J123" s="18">
        <v>550</v>
      </c>
      <c r="K123" s="18">
        <v>600</v>
      </c>
      <c r="L123" s="19">
        <v>400</v>
      </c>
      <c r="M123" s="44" t="s">
        <v>51</v>
      </c>
      <c r="N123" s="44" t="s">
        <v>591</v>
      </c>
      <c r="O123" s="40" t="s">
        <v>53</v>
      </c>
      <c r="P123" s="45">
        <v>0.111111</v>
      </c>
      <c r="Q123" s="46" t="s">
        <v>54</v>
      </c>
      <c r="R123" s="14">
        <v>30</v>
      </c>
      <c r="S123" s="13" t="s">
        <v>475</v>
      </c>
      <c r="T123" s="24" t="s">
        <v>592</v>
      </c>
      <c r="U123" s="47" t="s">
        <v>454</v>
      </c>
    </row>
    <row r="124" spans="1:21" ht="18.75" customHeight="1" x14ac:dyDescent="0.3">
      <c r="A124" s="26">
        <v>120</v>
      </c>
      <c r="B124" s="27" t="s">
        <v>593</v>
      </c>
      <c r="C124" s="28" t="s">
        <v>594</v>
      </c>
      <c r="D124" s="29" t="s">
        <v>595</v>
      </c>
      <c r="E124" s="30">
        <v>320</v>
      </c>
      <c r="F124" s="30">
        <v>320</v>
      </c>
      <c r="G124" s="29" t="s">
        <v>26</v>
      </c>
      <c r="H124" s="16" t="str">
        <f ca="1">IFERROR(googlefinance("NSE:RECLTD","price"),"–")</f>
        <v>–</v>
      </c>
      <c r="I124" s="31">
        <v>400</v>
      </c>
      <c r="J124" s="32">
        <v>425</v>
      </c>
      <c r="K124" s="32">
        <v>500</v>
      </c>
      <c r="L124" s="33">
        <v>300</v>
      </c>
      <c r="M124" s="39" t="s">
        <v>51</v>
      </c>
      <c r="N124" s="39" t="s">
        <v>398</v>
      </c>
      <c r="O124" s="40" t="s">
        <v>53</v>
      </c>
      <c r="P124" s="41">
        <v>0.25</v>
      </c>
      <c r="Q124" s="42" t="s">
        <v>54</v>
      </c>
      <c r="R124" s="29">
        <v>30</v>
      </c>
      <c r="S124" s="28" t="s">
        <v>64</v>
      </c>
      <c r="T124" s="37" t="s">
        <v>596</v>
      </c>
      <c r="U124" s="43" t="s">
        <v>597</v>
      </c>
    </row>
    <row r="125" spans="1:21" ht="18.75" customHeight="1" x14ac:dyDescent="0.3">
      <c r="A125" s="11">
        <v>121</v>
      </c>
      <c r="B125" s="12" t="s">
        <v>598</v>
      </c>
      <c r="C125" s="13" t="s">
        <v>599</v>
      </c>
      <c r="D125" s="14" t="s">
        <v>595</v>
      </c>
      <c r="E125" s="15">
        <v>4800</v>
      </c>
      <c r="F125" s="15">
        <v>4800</v>
      </c>
      <c r="G125" s="14" t="s">
        <v>26</v>
      </c>
      <c r="H125" s="16" t="str">
        <f ca="1">IFERROR(googlefinance("NSE:CUMMINSIND","price"),"–")</f>
        <v>–</v>
      </c>
      <c r="I125" s="17">
        <v>5500</v>
      </c>
      <c r="J125" s="48" t="s">
        <v>83</v>
      </c>
      <c r="K125" s="48" t="s">
        <v>83</v>
      </c>
      <c r="L125" s="19">
        <v>4750</v>
      </c>
      <c r="M125" s="44" t="s">
        <v>51</v>
      </c>
      <c r="N125" s="44" t="s">
        <v>600</v>
      </c>
      <c r="O125" s="40" t="s">
        <v>53</v>
      </c>
      <c r="P125" s="45">
        <v>0.14583299999999999</v>
      </c>
      <c r="Q125" s="46" t="s">
        <v>54</v>
      </c>
      <c r="R125" s="14">
        <v>30</v>
      </c>
      <c r="S125" s="13" t="s">
        <v>110</v>
      </c>
      <c r="T125" s="24" t="s">
        <v>601</v>
      </c>
      <c r="U125" s="47" t="s">
        <v>597</v>
      </c>
    </row>
    <row r="126" spans="1:21" ht="18.75" customHeight="1" x14ac:dyDescent="0.3">
      <c r="A126" s="26">
        <v>122</v>
      </c>
      <c r="B126" s="27" t="s">
        <v>602</v>
      </c>
      <c r="C126" s="28" t="s">
        <v>603</v>
      </c>
      <c r="D126" s="29" t="s">
        <v>595</v>
      </c>
      <c r="E126" s="30">
        <v>3200</v>
      </c>
      <c r="F126" s="30">
        <v>3200</v>
      </c>
      <c r="G126" s="29" t="s">
        <v>26</v>
      </c>
      <c r="H126" s="16" t="str">
        <f ca="1">IFERROR(googlefinance("NSE:TRENT","price"),"–")</f>
        <v>–</v>
      </c>
      <c r="I126" s="31">
        <v>4000</v>
      </c>
      <c r="J126" s="32">
        <v>4500</v>
      </c>
      <c r="K126" s="32">
        <v>5000</v>
      </c>
      <c r="L126" s="33">
        <v>3000</v>
      </c>
      <c r="M126" s="39" t="s">
        <v>51</v>
      </c>
      <c r="N126" s="39" t="s">
        <v>398</v>
      </c>
      <c r="O126" s="40" t="s">
        <v>53</v>
      </c>
      <c r="P126" s="41">
        <v>0.25</v>
      </c>
      <c r="Q126" s="42" t="s">
        <v>54</v>
      </c>
      <c r="R126" s="29">
        <v>30</v>
      </c>
      <c r="S126" s="28" t="s">
        <v>334</v>
      </c>
      <c r="T126" s="37" t="s">
        <v>604</v>
      </c>
      <c r="U126" s="43" t="s">
        <v>597</v>
      </c>
    </row>
    <row r="127" spans="1:21" ht="18.75" customHeight="1" x14ac:dyDescent="0.3">
      <c r="A127" s="11">
        <v>123</v>
      </c>
      <c r="B127" s="12" t="s">
        <v>605</v>
      </c>
      <c r="C127" s="13" t="s">
        <v>606</v>
      </c>
      <c r="D127" s="14" t="s">
        <v>595</v>
      </c>
      <c r="E127" s="15">
        <v>530</v>
      </c>
      <c r="F127" s="15">
        <v>530</v>
      </c>
      <c r="G127" s="14" t="s">
        <v>26</v>
      </c>
      <c r="H127" s="16" t="str">
        <f ca="1">IFERROR(googlefinance("NSE:SONACOMS","price"),"–")</f>
        <v>–</v>
      </c>
      <c r="I127" s="17">
        <v>550</v>
      </c>
      <c r="J127" s="18">
        <v>600</v>
      </c>
      <c r="K127" s="18">
        <v>650</v>
      </c>
      <c r="L127" s="19">
        <v>485</v>
      </c>
      <c r="M127" s="44" t="s">
        <v>103</v>
      </c>
      <c r="N127" s="44" t="s">
        <v>607</v>
      </c>
      <c r="O127" s="40" t="s">
        <v>53</v>
      </c>
      <c r="P127" s="45">
        <v>0.132075</v>
      </c>
      <c r="Q127" s="46" t="s">
        <v>105</v>
      </c>
      <c r="R127" s="14">
        <v>45</v>
      </c>
      <c r="S127" s="13" t="s">
        <v>45</v>
      </c>
      <c r="T127" s="24" t="s">
        <v>608</v>
      </c>
      <c r="U127" s="47" t="s">
        <v>609</v>
      </c>
    </row>
    <row r="128" spans="1:21" ht="18.75" customHeight="1" x14ac:dyDescent="0.3">
      <c r="A128" s="26">
        <v>124</v>
      </c>
      <c r="B128" s="27" t="s">
        <v>610</v>
      </c>
      <c r="C128" s="28" t="s">
        <v>611</v>
      </c>
      <c r="D128" s="29" t="s">
        <v>612</v>
      </c>
      <c r="E128" s="30">
        <v>3400</v>
      </c>
      <c r="F128" s="30">
        <v>3400</v>
      </c>
      <c r="G128" s="29" t="s">
        <v>26</v>
      </c>
      <c r="H128" s="16" t="str">
        <f ca="1">IFERROR(googlefinance("NSE:DATAPATTNS","price"),"–")</f>
        <v>–</v>
      </c>
      <c r="I128" s="31">
        <v>4000</v>
      </c>
      <c r="J128" s="32">
        <v>4250</v>
      </c>
      <c r="K128" s="32">
        <v>4500</v>
      </c>
      <c r="L128" s="33">
        <v>3250</v>
      </c>
      <c r="M128" s="39" t="s">
        <v>51</v>
      </c>
      <c r="N128" s="39" t="s">
        <v>613</v>
      </c>
      <c r="O128" s="40" t="s">
        <v>53</v>
      </c>
      <c r="P128" s="41">
        <v>0.17647099999999999</v>
      </c>
      <c r="Q128" s="42" t="s">
        <v>54</v>
      </c>
      <c r="R128" s="29">
        <v>30</v>
      </c>
      <c r="S128" s="28" t="s">
        <v>224</v>
      </c>
      <c r="T128" s="37" t="s">
        <v>614</v>
      </c>
      <c r="U128" s="43" t="s">
        <v>505</v>
      </c>
    </row>
    <row r="129" spans="1:21" ht="18.75" customHeight="1" x14ac:dyDescent="0.3">
      <c r="A129" s="11">
        <v>125</v>
      </c>
      <c r="B129" s="12" t="s">
        <v>615</v>
      </c>
      <c r="C129" s="13" t="s">
        <v>616</v>
      </c>
      <c r="D129" s="14" t="s">
        <v>617</v>
      </c>
      <c r="E129" s="15">
        <v>1000</v>
      </c>
      <c r="F129" s="15">
        <v>1000</v>
      </c>
      <c r="G129" s="14" t="s">
        <v>26</v>
      </c>
      <c r="H129" s="16" t="str">
        <f ca="1">IFERROR(googlefinance("NSE:LAURUSLABS","price"),"–")</f>
        <v>–</v>
      </c>
      <c r="I129" s="17">
        <v>1175</v>
      </c>
      <c r="J129" s="18">
        <v>1200</v>
      </c>
      <c r="K129" s="18">
        <v>1225</v>
      </c>
      <c r="L129" s="19">
        <v>975</v>
      </c>
      <c r="M129" s="49" t="str">
        <f ca="1">IF(OR(H129="",H129="–"),"–",IFERROR(IF(H129&lt;L129,"🔴 SL Hit",IF(AND(ISNUMBER(K129),H129&gt;=K129),"✅ T3 Hit",IF(AND(ISNUMBER(J129),H129&gt;=J129),"✅ T2 Hit",IF(AND(ISNUMBER(I129),H129&gt;=I129),"✅ T1 Hit",IF(AND(ISNUMBER(E129),H129&gt;=E129),"🟡 In Buy Zone","📈 Monitoring"))))),"-"))</f>
        <v>–</v>
      </c>
      <c r="N129" s="50" t="str">
        <f ca="1">IF(M129="🟡 In Buy Zone","🔔 BUY NOW!",IF(M129="🔴 SL Hit","⚠️ EXIT NOW!","📊 Monitoring"))</f>
        <v>📊 Monitoring</v>
      </c>
      <c r="O129" s="51" t="s">
        <v>84</v>
      </c>
      <c r="P129" s="52" t="str">
        <f ca="1">IF(OR(ISBLANK(H129),H129="–",H129="N/A",NOT(ISNUMBER(H129)),ISBLANK(E129),E129=0),"–",(H129-E129)/E129)</f>
        <v>–</v>
      </c>
      <c r="Q129" s="53" t="s">
        <v>84</v>
      </c>
      <c r="R129" s="14">
        <v>63</v>
      </c>
      <c r="S129" s="13" t="s">
        <v>55</v>
      </c>
      <c r="T129" s="24" t="s">
        <v>618</v>
      </c>
      <c r="U129" s="14" t="s">
        <v>87</v>
      </c>
    </row>
    <row r="130" spans="1:21" ht="18.75" customHeight="1" x14ac:dyDescent="0.3">
      <c r="A130" s="26">
        <v>126</v>
      </c>
      <c r="B130" s="27" t="s">
        <v>619</v>
      </c>
      <c r="C130" s="28" t="s">
        <v>620</v>
      </c>
      <c r="D130" s="29" t="s">
        <v>621</v>
      </c>
      <c r="E130" s="30">
        <v>1000</v>
      </c>
      <c r="F130" s="30">
        <v>1000</v>
      </c>
      <c r="G130" s="29" t="s">
        <v>26</v>
      </c>
      <c r="H130" s="16" t="str">
        <f ca="1">IFERROR(googlefinance("NSE:CHENNPETRO","price"),"–")</f>
        <v>–</v>
      </c>
      <c r="I130" s="31">
        <v>1200</v>
      </c>
      <c r="J130" s="32">
        <v>1300</v>
      </c>
      <c r="K130" s="32">
        <v>1400</v>
      </c>
      <c r="L130" s="33">
        <v>950</v>
      </c>
      <c r="M130" s="39" t="s">
        <v>51</v>
      </c>
      <c r="N130" s="39" t="s">
        <v>622</v>
      </c>
      <c r="O130" s="40" t="s">
        <v>53</v>
      </c>
      <c r="P130" s="41">
        <v>0.2</v>
      </c>
      <c r="Q130" s="42" t="s">
        <v>54</v>
      </c>
      <c r="R130" s="29">
        <v>30</v>
      </c>
      <c r="S130" s="28" t="s">
        <v>148</v>
      </c>
      <c r="T130" s="37" t="s">
        <v>149</v>
      </c>
      <c r="U130" s="43" t="s">
        <v>572</v>
      </c>
    </row>
    <row r="131" spans="1:21" ht="18.75" customHeight="1" x14ac:dyDescent="0.3">
      <c r="A131" s="11">
        <v>127</v>
      </c>
      <c r="B131" s="12" t="s">
        <v>623</v>
      </c>
      <c r="C131" s="13" t="s">
        <v>624</v>
      </c>
      <c r="D131" s="14" t="s">
        <v>625</v>
      </c>
      <c r="E131" s="15">
        <v>285</v>
      </c>
      <c r="F131" s="15">
        <v>285</v>
      </c>
      <c r="G131" s="14" t="s">
        <v>26</v>
      </c>
      <c r="H131" s="16" t="str">
        <f ca="1">IFERROR(googlefinance("NSE:APOLLOMICR","price"),"–")</f>
        <v>–</v>
      </c>
      <c r="I131" s="17">
        <v>330</v>
      </c>
      <c r="J131" s="18">
        <v>350</v>
      </c>
      <c r="K131" s="18">
        <v>360</v>
      </c>
      <c r="L131" s="19">
        <v>275</v>
      </c>
      <c r="M131" s="44" t="s">
        <v>51</v>
      </c>
      <c r="N131" s="44" t="s">
        <v>626</v>
      </c>
      <c r="O131" s="40" t="s">
        <v>53</v>
      </c>
      <c r="P131" s="45">
        <v>0.15789500000000001</v>
      </c>
      <c r="Q131" s="46" t="s">
        <v>54</v>
      </c>
      <c r="R131" s="14">
        <v>30</v>
      </c>
      <c r="S131" s="13" t="s">
        <v>224</v>
      </c>
      <c r="T131" s="24" t="s">
        <v>627</v>
      </c>
      <c r="U131" s="47" t="s">
        <v>628</v>
      </c>
    </row>
    <row r="132" spans="1:21" ht="18.75" customHeight="1" x14ac:dyDescent="0.3">
      <c r="A132" s="26">
        <v>128</v>
      </c>
      <c r="B132" s="27" t="s">
        <v>629</v>
      </c>
      <c r="C132" s="28" t="s">
        <v>630</v>
      </c>
      <c r="D132" s="29" t="s">
        <v>625</v>
      </c>
      <c r="E132" s="30">
        <v>900</v>
      </c>
      <c r="F132" s="30">
        <v>900</v>
      </c>
      <c r="G132" s="29" t="s">
        <v>26</v>
      </c>
      <c r="H132" s="16" t="str">
        <f ca="1">IFERROR(googlefinance("NSE:UTIAMC","price"),"–")</f>
        <v>–</v>
      </c>
      <c r="I132" s="31">
        <v>1250</v>
      </c>
      <c r="J132" s="32">
        <v>1350</v>
      </c>
      <c r="K132" s="32">
        <v>1500</v>
      </c>
      <c r="L132" s="33">
        <v>700</v>
      </c>
      <c r="M132" s="54" t="str">
        <f ca="1">IF(OR(H132="",H132="–"),"–",IFERROR(IF(H132&lt;L132,"🔴 SL Hit",IF(AND(ISNUMBER(K132),H132&gt;=K132),"✅ T3 Hit",IF(AND(ISNUMBER(J132),H132&gt;=J132),"✅ T2 Hit",IF(AND(ISNUMBER(I132),H132&gt;=I132),"✅ T1 Hit",IF(AND(ISNUMBER(E132),H132&gt;=E132),"🟡 In Buy Zone","📈 Monitoring"))))),"-"))</f>
        <v>–</v>
      </c>
      <c r="N132" s="55" t="str">
        <f ca="1">IF(M132="🟡 In Buy Zone","🔔 BUY NOW!",IF(M132="🔴 SL Hit","⚠️ EXIT NOW!","📊 Monitoring"))</f>
        <v>📊 Monitoring</v>
      </c>
      <c r="O132" s="51" t="s">
        <v>84</v>
      </c>
      <c r="P132" s="56" t="str">
        <f ca="1">IF(OR(ISBLANK(H132),H132="–",H132="N/A",NOT(ISNUMBER(H132)),ISBLANK(E132),E132=0),"–",(H132-E132)/E132)</f>
        <v>–</v>
      </c>
      <c r="Q132" s="57" t="s">
        <v>84</v>
      </c>
      <c r="R132" s="29">
        <v>61</v>
      </c>
      <c r="S132" s="28" t="s">
        <v>345</v>
      </c>
      <c r="T132" s="37" t="s">
        <v>631</v>
      </c>
      <c r="U132" s="29" t="s">
        <v>87</v>
      </c>
    </row>
    <row r="133" spans="1:21" ht="18.75" customHeight="1" x14ac:dyDescent="0.3">
      <c r="A133" s="11">
        <v>129</v>
      </c>
      <c r="B133" s="12" t="s">
        <v>632</v>
      </c>
      <c r="C133" s="13" t="s">
        <v>633</v>
      </c>
      <c r="D133" s="14" t="s">
        <v>634</v>
      </c>
      <c r="E133" s="15">
        <v>156</v>
      </c>
      <c r="F133" s="15">
        <v>156</v>
      </c>
      <c r="G133" s="14" t="s">
        <v>26</v>
      </c>
      <c r="H133" s="16" t="str">
        <f ca="1">IFERROR(googlefinance("NSE:BIRLACABLE","price"),"–")</f>
        <v>–</v>
      </c>
      <c r="I133" s="17">
        <v>166</v>
      </c>
      <c r="J133" s="18">
        <v>172</v>
      </c>
      <c r="K133" s="18">
        <v>180</v>
      </c>
      <c r="L133" s="19">
        <v>155</v>
      </c>
      <c r="M133" s="49" t="str">
        <f ca="1">IF(OR(H133="",H133="–"),"–",IFERROR(IF(H133&lt;L133,"🔴 SL Hit",IF(AND(ISNUMBER(K133),H133&gt;=K133),"✅ T3 Hit",IF(AND(ISNUMBER(J133),H133&gt;=J133),"✅ T2 Hit",IF(AND(ISNUMBER(I133),H133&gt;=I133),"✅ T1 Hit",IF(AND(ISNUMBER(E133),H133&gt;=E133),"🟡 In Buy Zone","📈 Monitoring"))))),"-"))</f>
        <v>–</v>
      </c>
      <c r="N133" s="50" t="str">
        <f ca="1">IF(M133="🟡 In Buy Zone","🔔 BUY NOW!",IF(M133="🔴 SL Hit","⚠️ EXIT NOW!","📊 Monitoring"))</f>
        <v>📊 Monitoring</v>
      </c>
      <c r="O133" s="51" t="s">
        <v>84</v>
      </c>
      <c r="P133" s="52" t="str">
        <f ca="1">IF(OR(ISBLANK(H133),H133="–",H133="N/A",NOT(ISNUMBER(H133)),ISBLANK(E133),E133=0),"–",(H133-E133)/E133)</f>
        <v>–</v>
      </c>
      <c r="Q133" s="53" t="s">
        <v>84</v>
      </c>
      <c r="R133" s="14">
        <v>60</v>
      </c>
      <c r="S133" s="13" t="s">
        <v>137</v>
      </c>
      <c r="T133" s="24" t="s">
        <v>635</v>
      </c>
      <c r="U133" s="14" t="s">
        <v>87</v>
      </c>
    </row>
    <row r="134" spans="1:21" ht="18.75" customHeight="1" x14ac:dyDescent="0.3">
      <c r="A134" s="26">
        <v>130</v>
      </c>
      <c r="B134" s="27" t="s">
        <v>636</v>
      </c>
      <c r="C134" s="28" t="s">
        <v>637</v>
      </c>
      <c r="D134" s="29" t="s">
        <v>638</v>
      </c>
      <c r="E134" s="30">
        <v>170</v>
      </c>
      <c r="F134" s="30">
        <v>170</v>
      </c>
      <c r="G134" s="29" t="s">
        <v>26</v>
      </c>
      <c r="H134" s="16" t="str">
        <f ca="1">IFERROR(googlefinance("NSE:MEESHO","price"),"–")</f>
        <v>–</v>
      </c>
      <c r="I134" s="31">
        <v>185</v>
      </c>
      <c r="J134" s="32">
        <v>190</v>
      </c>
      <c r="K134" s="32">
        <v>200</v>
      </c>
      <c r="L134" s="33">
        <v>165</v>
      </c>
      <c r="M134" s="39" t="s">
        <v>103</v>
      </c>
      <c r="N134" s="39" t="s">
        <v>333</v>
      </c>
      <c r="O134" s="40" t="s">
        <v>53</v>
      </c>
      <c r="P134" s="41">
        <v>0.117647</v>
      </c>
      <c r="Q134" s="42" t="s">
        <v>105</v>
      </c>
      <c r="R134" s="29">
        <v>45</v>
      </c>
      <c r="S134" s="28" t="s">
        <v>158</v>
      </c>
      <c r="T134" s="37" t="s">
        <v>576</v>
      </c>
      <c r="U134" s="43" t="s">
        <v>639</v>
      </c>
    </row>
    <row r="135" spans="1:21" ht="18.75" customHeight="1" x14ac:dyDescent="0.3">
      <c r="A135" s="11">
        <v>131</v>
      </c>
      <c r="B135" s="12" t="s">
        <v>23</v>
      </c>
      <c r="C135" s="13" t="s">
        <v>24</v>
      </c>
      <c r="D135" s="14" t="s">
        <v>640</v>
      </c>
      <c r="E135" s="15">
        <v>725</v>
      </c>
      <c r="F135" s="15">
        <v>725</v>
      </c>
      <c r="G135" s="14" t="s">
        <v>26</v>
      </c>
      <c r="H135" s="16" t="str">
        <f ca="1">IFERROR(googlefinance("NSE:HDFCBANK","price"),"–")</f>
        <v>–</v>
      </c>
      <c r="I135" s="17">
        <v>800</v>
      </c>
      <c r="J135" s="18">
        <v>825</v>
      </c>
      <c r="K135" s="18">
        <v>850</v>
      </c>
      <c r="L135" s="19">
        <v>740</v>
      </c>
      <c r="M135" s="44" t="s">
        <v>51</v>
      </c>
      <c r="N135" s="44" t="s">
        <v>641</v>
      </c>
      <c r="O135" s="40" t="s">
        <v>53</v>
      </c>
      <c r="P135" s="45">
        <v>0.103448</v>
      </c>
      <c r="Q135" s="46" t="s">
        <v>54</v>
      </c>
      <c r="R135" s="14">
        <v>30</v>
      </c>
      <c r="S135" s="13" t="s">
        <v>31</v>
      </c>
      <c r="T135" s="24" t="s">
        <v>642</v>
      </c>
      <c r="U135" s="47" t="s">
        <v>643</v>
      </c>
    </row>
    <row r="136" spans="1:21" ht="18.75" customHeight="1" x14ac:dyDescent="0.3">
      <c r="A136" s="26">
        <v>132</v>
      </c>
      <c r="B136" s="27" t="s">
        <v>644</v>
      </c>
      <c r="C136" s="28" t="s">
        <v>645</v>
      </c>
      <c r="D136" s="29" t="s">
        <v>646</v>
      </c>
      <c r="E136" s="30">
        <v>14</v>
      </c>
      <c r="F136" s="30">
        <v>14</v>
      </c>
      <c r="G136" s="29" t="s">
        <v>26</v>
      </c>
      <c r="H136" s="16" t="str">
        <f ca="1">IFERROR(googlefinance("NSE:JPPOWER","price"),"–")</f>
        <v>–</v>
      </c>
      <c r="I136" s="31">
        <v>25</v>
      </c>
      <c r="J136" s="32">
        <v>27.5</v>
      </c>
      <c r="K136" s="32">
        <v>30</v>
      </c>
      <c r="L136" s="33">
        <v>12</v>
      </c>
      <c r="M136" s="39" t="s">
        <v>61</v>
      </c>
      <c r="N136" s="39" t="s">
        <v>647</v>
      </c>
      <c r="O136" s="40" t="s">
        <v>53</v>
      </c>
      <c r="P136" s="41">
        <v>1.142857</v>
      </c>
      <c r="Q136" s="42" t="s">
        <v>63</v>
      </c>
      <c r="R136" s="29">
        <v>60</v>
      </c>
      <c r="S136" s="28" t="s">
        <v>410</v>
      </c>
      <c r="T136" s="37" t="s">
        <v>648</v>
      </c>
      <c r="U136" s="43" t="s">
        <v>649</v>
      </c>
    </row>
    <row r="137" spans="1:21" ht="18.75" customHeight="1" x14ac:dyDescent="0.3">
      <c r="A137" s="11">
        <v>133</v>
      </c>
      <c r="B137" s="12" t="s">
        <v>650</v>
      </c>
      <c r="C137" s="13" t="s">
        <v>651</v>
      </c>
      <c r="D137" s="14" t="s">
        <v>646</v>
      </c>
      <c r="E137" s="15">
        <v>1150</v>
      </c>
      <c r="F137" s="15">
        <v>1150</v>
      </c>
      <c r="G137" s="14" t="s">
        <v>26</v>
      </c>
      <c r="H137" s="16" t="str">
        <f ca="1">IFERROR(googlefinance("NSE:ADANIENSOL","price"),"–")</f>
        <v>–</v>
      </c>
      <c r="I137" s="17">
        <v>1500</v>
      </c>
      <c r="J137" s="18">
        <v>1750</v>
      </c>
      <c r="K137" s="18">
        <v>2000</v>
      </c>
      <c r="L137" s="19">
        <v>600</v>
      </c>
      <c r="M137" s="49" t="str">
        <f ca="1">IF(OR(H137="",H137="–"),"–",IFERROR(IF(H137&lt;L137,"🔴 SL Hit",IF(AND(ISNUMBER(K137),H137&gt;=K137),"✅ T3 Hit",IF(AND(ISNUMBER(J137),H137&gt;=J137),"✅ T2 Hit",IF(AND(ISNUMBER(I137),H137&gt;=I137),"✅ T1 Hit",IF(AND(ISNUMBER(E137),H137&gt;=E137),"🟡 In Buy Zone","📈 Monitoring"))))),"-"))</f>
        <v>–</v>
      </c>
      <c r="N137" s="50" t="str">
        <f ca="1">IF(M137="🟡 In Buy Zone","🔔 BUY NOW!",IF(M137="🔴 SL Hit","⚠️ EXIT NOW!","📊 Monitoring"))</f>
        <v>📊 Monitoring</v>
      </c>
      <c r="O137" s="51" t="s">
        <v>84</v>
      </c>
      <c r="P137" s="52" t="str">
        <f ca="1">IF(OR(ISBLANK(H137),H137="–",H137="N/A",NOT(ISNUMBER(H137)),ISBLANK(E137),E137=0),"–",(H137-E137)/E137)</f>
        <v>–</v>
      </c>
      <c r="Q137" s="53" t="s">
        <v>84</v>
      </c>
      <c r="R137" s="14">
        <v>51</v>
      </c>
      <c r="S137" s="13" t="s">
        <v>410</v>
      </c>
      <c r="T137" s="24" t="s">
        <v>652</v>
      </c>
      <c r="U137" s="14" t="s">
        <v>87</v>
      </c>
    </row>
    <row r="138" spans="1:21" ht="18.75" customHeight="1" x14ac:dyDescent="0.3">
      <c r="A138" s="59"/>
      <c r="B138" s="24" t="s">
        <v>653</v>
      </c>
      <c r="C138" s="59"/>
      <c r="D138" s="59"/>
      <c r="E138" s="59"/>
      <c r="F138" s="59"/>
      <c r="G138" s="14" t="s">
        <v>26</v>
      </c>
      <c r="H138" s="60" t="str">
        <f>IF(OR(ISBLANK(B138),B138="← Enter ticker"),"–",IFERROR(googlefinance(G138&amp;B138,"price"),"–"))</f>
        <v>–</v>
      </c>
      <c r="I138" s="59"/>
      <c r="J138" s="59"/>
      <c r="K138" s="59"/>
      <c r="L138" s="59"/>
      <c r="M138" s="49" t="str">
        <f t="shared" ref="M138:M157" si="0">IF(OR(ISBLANK(B138),B138="← Enter ticker"),"–",IF(OR(H138="–",NOT(ISNUMBER(H138))),"–",IF(H138&lt;L138,"🔴 SL Hit",IF(AND(ISNUMBER(K138),H138&gt;=K138),"✅ T3 Hit",IF(AND(ISNUMBER(J138),H138&gt;=J138),"✅ T2 Hit",IF(AND(ISNUMBER(I138),H138&gt;=I138),"✅ T1 Hit",IF(AND(ISNUMBER(E138),H138&gt;=E138),"🟡 In Buy Zone","📈 Monitoring")))))))</f>
        <v>–</v>
      </c>
      <c r="N138" s="59"/>
      <c r="O138" s="51" t="s">
        <v>84</v>
      </c>
      <c r="P138" s="61" t="str">
        <f t="shared" ref="P138:P157" si="1">IF(OR(ISBLANK(H138),H138="–",NOT(ISNUMBER(H138)),E138=0),"–",(H138-E138)/E138)</f>
        <v>–</v>
      </c>
      <c r="Q138" s="59" t="s">
        <v>84</v>
      </c>
      <c r="R138" s="59"/>
      <c r="S138" s="59"/>
      <c r="T138" s="59"/>
      <c r="U138" s="59" t="s">
        <v>87</v>
      </c>
    </row>
    <row r="139" spans="1:21" ht="18.75" customHeight="1" x14ac:dyDescent="0.3">
      <c r="A139" s="62"/>
      <c r="B139" s="37" t="s">
        <v>653</v>
      </c>
      <c r="C139" s="62"/>
      <c r="D139" s="62"/>
      <c r="E139" s="62"/>
      <c r="F139" s="62"/>
      <c r="G139" s="29" t="s">
        <v>26</v>
      </c>
      <c r="H139" s="60" t="str">
        <f>IF(OR(ISBLANK(B139),B139="← Enter ticker"),"–",IFERROR(googlefinance(G139&amp;B139,"price"),"–"))</f>
        <v>–</v>
      </c>
      <c r="I139" s="62"/>
      <c r="J139" s="62"/>
      <c r="K139" s="62"/>
      <c r="L139" s="62"/>
      <c r="M139" s="54" t="str">
        <f t="shared" si="0"/>
        <v>–</v>
      </c>
      <c r="N139" s="62"/>
      <c r="O139" s="51" t="s">
        <v>84</v>
      </c>
      <c r="P139" s="63" t="str">
        <f t="shared" si="1"/>
        <v>–</v>
      </c>
      <c r="Q139" s="62" t="s">
        <v>84</v>
      </c>
      <c r="R139" s="62"/>
      <c r="S139" s="62"/>
      <c r="T139" s="62"/>
      <c r="U139" s="62" t="s">
        <v>87</v>
      </c>
    </row>
    <row r="140" spans="1:21" ht="18.75" customHeight="1" x14ac:dyDescent="0.3">
      <c r="A140" s="59"/>
      <c r="B140" s="24" t="s">
        <v>653</v>
      </c>
      <c r="C140" s="59"/>
      <c r="D140" s="59"/>
      <c r="E140" s="59"/>
      <c r="F140" s="59"/>
      <c r="G140" s="14" t="s">
        <v>26</v>
      </c>
      <c r="H140" s="60" t="str">
        <f>IF(OR(ISBLANK(B140),B140="← Enter ticker"),"–",IFERROR(googlefinance(G140&amp;B140,"price"),"–"))</f>
        <v>–</v>
      </c>
      <c r="I140" s="59"/>
      <c r="J140" s="59"/>
      <c r="K140" s="59"/>
      <c r="L140" s="59"/>
      <c r="M140" s="49" t="str">
        <f t="shared" si="0"/>
        <v>–</v>
      </c>
      <c r="N140" s="59"/>
      <c r="O140" s="51" t="s">
        <v>84</v>
      </c>
      <c r="P140" s="61" t="str">
        <f t="shared" si="1"/>
        <v>–</v>
      </c>
      <c r="Q140" s="59" t="s">
        <v>84</v>
      </c>
      <c r="R140" s="59"/>
      <c r="S140" s="59"/>
      <c r="T140" s="59"/>
      <c r="U140" s="59" t="s">
        <v>87</v>
      </c>
    </row>
    <row r="141" spans="1:21" ht="18.75" customHeight="1" x14ac:dyDescent="0.3">
      <c r="A141" s="62"/>
      <c r="B141" s="37" t="s">
        <v>653</v>
      </c>
      <c r="C141" s="62"/>
      <c r="D141" s="62"/>
      <c r="E141" s="62"/>
      <c r="F141" s="62"/>
      <c r="G141" s="29" t="s">
        <v>26</v>
      </c>
      <c r="H141" s="60" t="str">
        <f>IF(OR(ISBLANK(B141),B141="← Enter ticker"),"–",IFERROR(googlefinance(G141&amp;B141,"price"),"–"))</f>
        <v>–</v>
      </c>
      <c r="I141" s="62"/>
      <c r="J141" s="62"/>
      <c r="K141" s="62"/>
      <c r="L141" s="62"/>
      <c r="M141" s="54" t="str">
        <f t="shared" si="0"/>
        <v>–</v>
      </c>
      <c r="N141" s="62"/>
      <c r="O141" s="51" t="s">
        <v>84</v>
      </c>
      <c r="P141" s="63" t="str">
        <f t="shared" si="1"/>
        <v>–</v>
      </c>
      <c r="Q141" s="62" t="s">
        <v>84</v>
      </c>
      <c r="R141" s="62"/>
      <c r="S141" s="62"/>
      <c r="T141" s="62"/>
      <c r="U141" s="62" t="s">
        <v>87</v>
      </c>
    </row>
    <row r="142" spans="1:21" ht="18.75" customHeight="1" x14ac:dyDescent="0.3">
      <c r="A142" s="59"/>
      <c r="B142" s="24" t="s">
        <v>653</v>
      </c>
      <c r="C142" s="59"/>
      <c r="D142" s="59"/>
      <c r="E142" s="59"/>
      <c r="F142" s="59"/>
      <c r="G142" s="14" t="s">
        <v>26</v>
      </c>
      <c r="H142" s="60" t="str">
        <f>IF(OR(ISBLANK(B142),B142="← Enter ticker"),"–",IFERROR(googlefinance(G142&amp;B142,"price"),"–"))</f>
        <v>–</v>
      </c>
      <c r="I142" s="59"/>
      <c r="J142" s="59"/>
      <c r="K142" s="59"/>
      <c r="L142" s="59"/>
      <c r="M142" s="49" t="str">
        <f t="shared" si="0"/>
        <v>–</v>
      </c>
      <c r="N142" s="59"/>
      <c r="O142" s="51" t="s">
        <v>84</v>
      </c>
      <c r="P142" s="61" t="str">
        <f t="shared" si="1"/>
        <v>–</v>
      </c>
      <c r="Q142" s="59" t="s">
        <v>84</v>
      </c>
      <c r="R142" s="59"/>
      <c r="S142" s="59"/>
      <c r="T142" s="59"/>
      <c r="U142" s="59" t="s">
        <v>87</v>
      </c>
    </row>
    <row r="143" spans="1:21" ht="18.75" customHeight="1" x14ac:dyDescent="0.3">
      <c r="A143" s="62"/>
      <c r="B143" s="37" t="s">
        <v>653</v>
      </c>
      <c r="C143" s="62"/>
      <c r="D143" s="62"/>
      <c r="E143" s="62"/>
      <c r="F143" s="62"/>
      <c r="G143" s="29" t="s">
        <v>26</v>
      </c>
      <c r="H143" s="60" t="str">
        <f>IF(OR(ISBLANK(B143),B143="← Enter ticker"),"–",IFERROR(googlefinance(G143&amp;B143,"price"),"–"))</f>
        <v>–</v>
      </c>
      <c r="I143" s="62"/>
      <c r="J143" s="62"/>
      <c r="K143" s="62"/>
      <c r="L143" s="62"/>
      <c r="M143" s="54" t="str">
        <f t="shared" si="0"/>
        <v>–</v>
      </c>
      <c r="N143" s="62"/>
      <c r="O143" s="51" t="s">
        <v>84</v>
      </c>
      <c r="P143" s="63" t="str">
        <f t="shared" si="1"/>
        <v>–</v>
      </c>
      <c r="Q143" s="62" t="s">
        <v>84</v>
      </c>
      <c r="R143" s="62"/>
      <c r="S143" s="62"/>
      <c r="T143" s="62"/>
      <c r="U143" s="62" t="s">
        <v>87</v>
      </c>
    </row>
    <row r="144" spans="1:21" ht="18.75" customHeight="1" x14ac:dyDescent="0.3">
      <c r="A144" s="59"/>
      <c r="B144" s="24" t="s">
        <v>653</v>
      </c>
      <c r="C144" s="59"/>
      <c r="D144" s="59"/>
      <c r="E144" s="59"/>
      <c r="F144" s="59"/>
      <c r="G144" s="14" t="s">
        <v>26</v>
      </c>
      <c r="H144" s="60" t="str">
        <f>IF(OR(ISBLANK(B144),B144="← Enter ticker"),"–",IFERROR(googlefinance(G144&amp;B144,"price"),"–"))</f>
        <v>–</v>
      </c>
      <c r="I144" s="59"/>
      <c r="J144" s="59"/>
      <c r="K144" s="59"/>
      <c r="L144" s="59"/>
      <c r="M144" s="49" t="str">
        <f t="shared" si="0"/>
        <v>–</v>
      </c>
      <c r="N144" s="59"/>
      <c r="O144" s="51" t="s">
        <v>84</v>
      </c>
      <c r="P144" s="61" t="str">
        <f t="shared" si="1"/>
        <v>–</v>
      </c>
      <c r="Q144" s="59" t="s">
        <v>84</v>
      </c>
      <c r="R144" s="59"/>
      <c r="S144" s="59"/>
      <c r="T144" s="59"/>
      <c r="U144" s="59" t="s">
        <v>87</v>
      </c>
    </row>
    <row r="145" spans="1:21" ht="18.75" customHeight="1" x14ac:dyDescent="0.3">
      <c r="A145" s="62"/>
      <c r="B145" s="37" t="s">
        <v>653</v>
      </c>
      <c r="C145" s="62"/>
      <c r="D145" s="62"/>
      <c r="E145" s="62"/>
      <c r="F145" s="62"/>
      <c r="G145" s="29" t="s">
        <v>26</v>
      </c>
      <c r="H145" s="60" t="str">
        <f>IF(OR(ISBLANK(B145),B145="← Enter ticker"),"–",IFERROR(googlefinance(G145&amp;B145,"price"),"–"))</f>
        <v>–</v>
      </c>
      <c r="I145" s="62"/>
      <c r="J145" s="62"/>
      <c r="K145" s="62"/>
      <c r="L145" s="62"/>
      <c r="M145" s="54" t="str">
        <f t="shared" si="0"/>
        <v>–</v>
      </c>
      <c r="N145" s="62"/>
      <c r="O145" s="51" t="s">
        <v>84</v>
      </c>
      <c r="P145" s="63" t="str">
        <f t="shared" si="1"/>
        <v>–</v>
      </c>
      <c r="Q145" s="62" t="s">
        <v>84</v>
      </c>
      <c r="R145" s="62"/>
      <c r="S145" s="62"/>
      <c r="T145" s="62"/>
      <c r="U145" s="62" t="s">
        <v>87</v>
      </c>
    </row>
    <row r="146" spans="1:21" ht="18.75" customHeight="1" x14ac:dyDescent="0.3">
      <c r="A146" s="59"/>
      <c r="B146" s="24" t="s">
        <v>653</v>
      </c>
      <c r="C146" s="59"/>
      <c r="D146" s="59"/>
      <c r="E146" s="59"/>
      <c r="F146" s="59"/>
      <c r="G146" s="14" t="s">
        <v>26</v>
      </c>
      <c r="H146" s="60" t="str">
        <f>IF(OR(ISBLANK(B146),B146="← Enter ticker"),"–",IFERROR(googlefinance(G146&amp;B146,"price"),"–"))</f>
        <v>–</v>
      </c>
      <c r="I146" s="59"/>
      <c r="J146" s="59"/>
      <c r="K146" s="59"/>
      <c r="L146" s="59"/>
      <c r="M146" s="49" t="str">
        <f t="shared" si="0"/>
        <v>–</v>
      </c>
      <c r="N146" s="59"/>
      <c r="O146" s="51" t="s">
        <v>84</v>
      </c>
      <c r="P146" s="61" t="str">
        <f t="shared" si="1"/>
        <v>–</v>
      </c>
      <c r="Q146" s="59" t="s">
        <v>84</v>
      </c>
      <c r="R146" s="59"/>
      <c r="S146" s="59"/>
      <c r="T146" s="59"/>
      <c r="U146" s="59" t="s">
        <v>87</v>
      </c>
    </row>
    <row r="147" spans="1:21" ht="18.75" customHeight="1" x14ac:dyDescent="0.3">
      <c r="A147" s="62"/>
      <c r="B147" s="37" t="s">
        <v>653</v>
      </c>
      <c r="C147" s="62"/>
      <c r="D147" s="62"/>
      <c r="E147" s="62"/>
      <c r="F147" s="62"/>
      <c r="G147" s="29" t="s">
        <v>26</v>
      </c>
      <c r="H147" s="60" t="str">
        <f>IF(OR(ISBLANK(B147),B147="← Enter ticker"),"–",IFERROR(googlefinance(G147&amp;B147,"price"),"–"))</f>
        <v>–</v>
      </c>
      <c r="I147" s="62"/>
      <c r="J147" s="62"/>
      <c r="K147" s="62"/>
      <c r="L147" s="62"/>
      <c r="M147" s="54" t="str">
        <f t="shared" si="0"/>
        <v>–</v>
      </c>
      <c r="N147" s="62"/>
      <c r="O147" s="51" t="s">
        <v>84</v>
      </c>
      <c r="P147" s="63" t="str">
        <f t="shared" si="1"/>
        <v>–</v>
      </c>
      <c r="Q147" s="62" t="s">
        <v>84</v>
      </c>
      <c r="R147" s="62"/>
      <c r="S147" s="62"/>
      <c r="T147" s="62"/>
      <c r="U147" s="62" t="s">
        <v>87</v>
      </c>
    </row>
    <row r="148" spans="1:21" ht="18.75" customHeight="1" x14ac:dyDescent="0.3">
      <c r="A148" s="59"/>
      <c r="B148" s="24" t="s">
        <v>653</v>
      </c>
      <c r="C148" s="59"/>
      <c r="D148" s="59"/>
      <c r="E148" s="59"/>
      <c r="F148" s="59"/>
      <c r="G148" s="14" t="s">
        <v>26</v>
      </c>
      <c r="H148" s="60" t="str">
        <f>IF(OR(ISBLANK(B148),B148="← Enter ticker"),"–",IFERROR(googlefinance(G148&amp;B148,"price"),"–"))</f>
        <v>–</v>
      </c>
      <c r="I148" s="59"/>
      <c r="J148" s="59"/>
      <c r="K148" s="59"/>
      <c r="L148" s="59"/>
      <c r="M148" s="49" t="str">
        <f t="shared" si="0"/>
        <v>–</v>
      </c>
      <c r="N148" s="59"/>
      <c r="O148" s="51" t="s">
        <v>84</v>
      </c>
      <c r="P148" s="61" t="str">
        <f t="shared" si="1"/>
        <v>–</v>
      </c>
      <c r="Q148" s="59" t="s">
        <v>84</v>
      </c>
      <c r="R148" s="59"/>
      <c r="S148" s="59"/>
      <c r="T148" s="59"/>
      <c r="U148" s="59" t="s">
        <v>87</v>
      </c>
    </row>
    <row r="149" spans="1:21" ht="18.75" customHeight="1" x14ac:dyDescent="0.3">
      <c r="A149" s="62"/>
      <c r="B149" s="37" t="s">
        <v>653</v>
      </c>
      <c r="C149" s="62"/>
      <c r="D149" s="62"/>
      <c r="E149" s="62"/>
      <c r="F149" s="62"/>
      <c r="G149" s="29" t="s">
        <v>26</v>
      </c>
      <c r="H149" s="60" t="str">
        <f>IF(OR(ISBLANK(B149),B149="← Enter ticker"),"–",IFERROR(googlefinance(G149&amp;B149,"price"),"–"))</f>
        <v>–</v>
      </c>
      <c r="I149" s="62"/>
      <c r="J149" s="62"/>
      <c r="K149" s="62"/>
      <c r="L149" s="62"/>
      <c r="M149" s="54" t="str">
        <f t="shared" si="0"/>
        <v>–</v>
      </c>
      <c r="N149" s="62"/>
      <c r="O149" s="51" t="s">
        <v>84</v>
      </c>
      <c r="P149" s="63" t="str">
        <f t="shared" si="1"/>
        <v>–</v>
      </c>
      <c r="Q149" s="62" t="s">
        <v>84</v>
      </c>
      <c r="R149" s="62"/>
      <c r="S149" s="62"/>
      <c r="T149" s="62"/>
      <c r="U149" s="62" t="s">
        <v>87</v>
      </c>
    </row>
    <row r="150" spans="1:21" ht="18.75" customHeight="1" x14ac:dyDescent="0.3">
      <c r="A150" s="59"/>
      <c r="B150" s="24" t="s">
        <v>653</v>
      </c>
      <c r="C150" s="59"/>
      <c r="D150" s="59"/>
      <c r="E150" s="59"/>
      <c r="F150" s="59"/>
      <c r="G150" s="14" t="s">
        <v>26</v>
      </c>
      <c r="H150" s="60" t="str">
        <f>IF(OR(ISBLANK(B150),B150="← Enter ticker"),"–",IFERROR(googlefinance(G150&amp;B150,"price"),"–"))</f>
        <v>–</v>
      </c>
      <c r="I150" s="59"/>
      <c r="J150" s="59"/>
      <c r="K150" s="59"/>
      <c r="L150" s="59"/>
      <c r="M150" s="49" t="str">
        <f t="shared" si="0"/>
        <v>–</v>
      </c>
      <c r="N150" s="59"/>
      <c r="O150" s="51" t="s">
        <v>84</v>
      </c>
      <c r="P150" s="61" t="str">
        <f t="shared" si="1"/>
        <v>–</v>
      </c>
      <c r="Q150" s="59" t="s">
        <v>84</v>
      </c>
      <c r="R150" s="59"/>
      <c r="S150" s="59"/>
      <c r="T150" s="59"/>
      <c r="U150" s="59" t="s">
        <v>87</v>
      </c>
    </row>
    <row r="151" spans="1:21" ht="18.75" customHeight="1" x14ac:dyDescent="0.3">
      <c r="A151" s="62"/>
      <c r="B151" s="37" t="s">
        <v>653</v>
      </c>
      <c r="C151" s="62"/>
      <c r="D151" s="62"/>
      <c r="E151" s="62"/>
      <c r="F151" s="62"/>
      <c r="G151" s="29" t="s">
        <v>26</v>
      </c>
      <c r="H151" s="60" t="str">
        <f>IF(OR(ISBLANK(B151),B151="← Enter ticker"),"–",IFERROR(googlefinance(G151&amp;B151,"price"),"–"))</f>
        <v>–</v>
      </c>
      <c r="I151" s="62"/>
      <c r="J151" s="62"/>
      <c r="K151" s="62"/>
      <c r="L151" s="62"/>
      <c r="M151" s="54" t="str">
        <f t="shared" si="0"/>
        <v>–</v>
      </c>
      <c r="N151" s="62"/>
      <c r="O151" s="51" t="s">
        <v>84</v>
      </c>
      <c r="P151" s="63" t="str">
        <f t="shared" si="1"/>
        <v>–</v>
      </c>
      <c r="Q151" s="62" t="s">
        <v>84</v>
      </c>
      <c r="R151" s="62"/>
      <c r="S151" s="62"/>
      <c r="T151" s="62"/>
      <c r="U151" s="62" t="s">
        <v>87</v>
      </c>
    </row>
    <row r="152" spans="1:21" ht="18.75" customHeight="1" x14ac:dyDescent="0.3">
      <c r="A152" s="59"/>
      <c r="B152" s="24" t="s">
        <v>653</v>
      </c>
      <c r="C152" s="59"/>
      <c r="D152" s="59"/>
      <c r="E152" s="59"/>
      <c r="F152" s="59"/>
      <c r="G152" s="14" t="s">
        <v>26</v>
      </c>
      <c r="H152" s="60" t="str">
        <f>IF(OR(ISBLANK(B152),B152="← Enter ticker"),"–",IFERROR(googlefinance(G152&amp;B152,"price"),"–"))</f>
        <v>–</v>
      </c>
      <c r="I152" s="59"/>
      <c r="J152" s="59"/>
      <c r="K152" s="59"/>
      <c r="L152" s="59"/>
      <c r="M152" s="49" t="str">
        <f t="shared" si="0"/>
        <v>–</v>
      </c>
      <c r="N152" s="59"/>
      <c r="O152" s="51" t="s">
        <v>84</v>
      </c>
      <c r="P152" s="61" t="str">
        <f t="shared" si="1"/>
        <v>–</v>
      </c>
      <c r="Q152" s="59" t="s">
        <v>84</v>
      </c>
      <c r="R152" s="59"/>
      <c r="S152" s="59"/>
      <c r="T152" s="59"/>
      <c r="U152" s="59" t="s">
        <v>87</v>
      </c>
    </row>
    <row r="153" spans="1:21" ht="18.75" customHeight="1" x14ac:dyDescent="0.3">
      <c r="A153" s="62"/>
      <c r="B153" s="37" t="s">
        <v>653</v>
      </c>
      <c r="C153" s="62"/>
      <c r="D153" s="62"/>
      <c r="E153" s="62"/>
      <c r="F153" s="62"/>
      <c r="G153" s="29" t="s">
        <v>26</v>
      </c>
      <c r="H153" s="60" t="str">
        <f>IF(OR(ISBLANK(B153),B153="← Enter ticker"),"–",IFERROR(googlefinance(G153&amp;B153,"price"),"–"))</f>
        <v>–</v>
      </c>
      <c r="I153" s="62"/>
      <c r="J153" s="62"/>
      <c r="K153" s="62"/>
      <c r="L153" s="62"/>
      <c r="M153" s="54" t="str">
        <f t="shared" si="0"/>
        <v>–</v>
      </c>
      <c r="N153" s="62"/>
      <c r="O153" s="51" t="s">
        <v>84</v>
      </c>
      <c r="P153" s="63" t="str">
        <f t="shared" si="1"/>
        <v>–</v>
      </c>
      <c r="Q153" s="62" t="s">
        <v>84</v>
      </c>
      <c r="R153" s="62"/>
      <c r="S153" s="62"/>
      <c r="T153" s="62"/>
      <c r="U153" s="62" t="s">
        <v>87</v>
      </c>
    </row>
    <row r="154" spans="1:21" ht="18.75" customHeight="1" x14ac:dyDescent="0.3">
      <c r="A154" s="59"/>
      <c r="B154" s="24" t="s">
        <v>653</v>
      </c>
      <c r="C154" s="59"/>
      <c r="D154" s="59"/>
      <c r="E154" s="59"/>
      <c r="F154" s="59"/>
      <c r="G154" s="14" t="s">
        <v>26</v>
      </c>
      <c r="H154" s="60" t="str">
        <f>IF(OR(ISBLANK(B154),B154="← Enter ticker"),"–",IFERROR(googlefinance(G154&amp;B154,"price"),"–"))</f>
        <v>–</v>
      </c>
      <c r="I154" s="59"/>
      <c r="J154" s="59"/>
      <c r="K154" s="59"/>
      <c r="L154" s="59"/>
      <c r="M154" s="49" t="str">
        <f t="shared" si="0"/>
        <v>–</v>
      </c>
      <c r="N154" s="59"/>
      <c r="O154" s="51" t="s">
        <v>84</v>
      </c>
      <c r="P154" s="61" t="str">
        <f t="shared" si="1"/>
        <v>–</v>
      </c>
      <c r="Q154" s="59" t="s">
        <v>84</v>
      </c>
      <c r="R154" s="59"/>
      <c r="S154" s="59"/>
      <c r="T154" s="59"/>
      <c r="U154" s="59" t="s">
        <v>87</v>
      </c>
    </row>
    <row r="155" spans="1:21" ht="18.75" customHeight="1" x14ac:dyDescent="0.3">
      <c r="A155" s="62"/>
      <c r="B155" s="37" t="s">
        <v>653</v>
      </c>
      <c r="C155" s="62"/>
      <c r="D155" s="62"/>
      <c r="E155" s="62"/>
      <c r="F155" s="62"/>
      <c r="G155" s="29" t="s">
        <v>26</v>
      </c>
      <c r="H155" s="60" t="str">
        <f>IF(OR(ISBLANK(B155),B155="← Enter ticker"),"–",IFERROR(googlefinance(G155&amp;B155,"price"),"–"))</f>
        <v>–</v>
      </c>
      <c r="I155" s="62"/>
      <c r="J155" s="62"/>
      <c r="K155" s="62"/>
      <c r="L155" s="62"/>
      <c r="M155" s="54" t="str">
        <f t="shared" si="0"/>
        <v>–</v>
      </c>
      <c r="N155" s="62"/>
      <c r="O155" s="51" t="s">
        <v>84</v>
      </c>
      <c r="P155" s="63" t="str">
        <f t="shared" si="1"/>
        <v>–</v>
      </c>
      <c r="Q155" s="62" t="s">
        <v>84</v>
      </c>
      <c r="R155" s="62"/>
      <c r="S155" s="62"/>
      <c r="T155" s="62"/>
      <c r="U155" s="62" t="s">
        <v>87</v>
      </c>
    </row>
    <row r="156" spans="1:21" ht="18.75" customHeight="1" x14ac:dyDescent="0.3">
      <c r="A156" s="59"/>
      <c r="B156" s="24" t="s">
        <v>653</v>
      </c>
      <c r="C156" s="59"/>
      <c r="D156" s="59"/>
      <c r="E156" s="59"/>
      <c r="F156" s="59"/>
      <c r="G156" s="14" t="s">
        <v>26</v>
      </c>
      <c r="H156" s="60" t="str">
        <f>IF(OR(ISBLANK(B156),B156="← Enter ticker"),"–",IFERROR(googlefinance(G156&amp;B156,"price"),"–"))</f>
        <v>–</v>
      </c>
      <c r="I156" s="59"/>
      <c r="J156" s="59"/>
      <c r="K156" s="59"/>
      <c r="L156" s="59"/>
      <c r="M156" s="49" t="str">
        <f t="shared" si="0"/>
        <v>–</v>
      </c>
      <c r="N156" s="59"/>
      <c r="O156" s="51" t="s">
        <v>84</v>
      </c>
      <c r="P156" s="61" t="str">
        <f t="shared" si="1"/>
        <v>–</v>
      </c>
      <c r="Q156" s="59" t="s">
        <v>84</v>
      </c>
      <c r="R156" s="59"/>
      <c r="S156" s="59"/>
      <c r="T156" s="59"/>
      <c r="U156" s="59" t="s">
        <v>87</v>
      </c>
    </row>
    <row r="157" spans="1:21" ht="18.75" customHeight="1" x14ac:dyDescent="0.3">
      <c r="A157" s="62"/>
      <c r="B157" s="37" t="s">
        <v>653</v>
      </c>
      <c r="C157" s="62"/>
      <c r="D157" s="62"/>
      <c r="E157" s="62"/>
      <c r="F157" s="62"/>
      <c r="G157" s="29" t="s">
        <v>26</v>
      </c>
      <c r="H157" s="60" t="str">
        <f>IF(OR(ISBLANK(B157),B157="← Enter ticker"),"–",IFERROR(googlefinance(G157&amp;B157,"price"),"–"))</f>
        <v>–</v>
      </c>
      <c r="I157" s="62"/>
      <c r="J157" s="62"/>
      <c r="K157" s="62"/>
      <c r="L157" s="62"/>
      <c r="M157" s="54" t="str">
        <f t="shared" si="0"/>
        <v>–</v>
      </c>
      <c r="N157" s="62"/>
      <c r="O157" s="51" t="s">
        <v>84</v>
      </c>
      <c r="P157" s="63" t="str">
        <f t="shared" si="1"/>
        <v>–</v>
      </c>
      <c r="Q157" s="62" t="s">
        <v>84</v>
      </c>
      <c r="R157" s="62"/>
      <c r="S157" s="62"/>
      <c r="T157" s="62"/>
      <c r="U157" s="62" t="s">
        <v>87</v>
      </c>
    </row>
  </sheetData>
  <mergeCells count="3">
    <mergeCell ref="A1:U1"/>
    <mergeCell ref="A2:U2"/>
    <mergeCell ref="A3:U3"/>
  </mergeCells>
  <conditionalFormatting sqref="A5:U157">
    <cfRule type="expression" dxfId="1" priority="2">
      <formula>$O5="WIN"</formula>
    </cfRule>
    <cfRule type="expression" dxfId="0" priority="3">
      <formula>$O5="LOSS"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39"/>
  <sheetViews>
    <sheetView showGridLines="0" zoomScaleNormal="100" workbookViewId="0">
      <selection activeCell="K8" sqref="A1:XFD1048576"/>
    </sheetView>
  </sheetViews>
  <sheetFormatPr defaultColWidth="8.6640625" defaultRowHeight="14.4" x14ac:dyDescent="0.3"/>
  <cols>
    <col min="1" max="1" width="6.77734375" bestFit="1" customWidth="1"/>
    <col min="2" max="2" width="9.88671875" bestFit="1" customWidth="1"/>
    <col min="3" max="3" width="14.33203125" bestFit="1" customWidth="1"/>
    <col min="4" max="4" width="10.44140625" bestFit="1" customWidth="1"/>
    <col min="5" max="6" width="9.5546875" bestFit="1" customWidth="1"/>
    <col min="7" max="7" width="11.21875" bestFit="1" customWidth="1"/>
    <col min="8" max="8" width="10.44140625" bestFit="1" customWidth="1"/>
    <col min="9" max="9" width="13.109375" bestFit="1" customWidth="1"/>
    <col min="10" max="10" width="19.6640625" bestFit="1" customWidth="1"/>
  </cols>
  <sheetData>
    <row r="1" spans="1:10" ht="30" customHeight="1" x14ac:dyDescent="0.3">
      <c r="A1" s="8" t="s">
        <v>654</v>
      </c>
      <c r="B1" s="8"/>
      <c r="C1" s="8"/>
      <c r="D1" s="8"/>
      <c r="E1" s="8"/>
      <c r="F1" s="8"/>
      <c r="G1" s="8"/>
      <c r="H1" s="8"/>
      <c r="I1" s="8"/>
      <c r="J1" s="8"/>
    </row>
    <row r="2" spans="1:10" ht="13.5" customHeight="1" x14ac:dyDescent="0.3">
      <c r="A2" s="7" t="s">
        <v>655</v>
      </c>
      <c r="B2" s="7"/>
      <c r="C2" s="7"/>
      <c r="D2" s="7"/>
      <c r="E2" s="7"/>
      <c r="F2" s="7"/>
      <c r="G2" s="7"/>
      <c r="H2" s="7"/>
      <c r="I2" s="7"/>
      <c r="J2" s="7"/>
    </row>
    <row r="3" spans="1:10" ht="3.75" customHeight="1" x14ac:dyDescent="0.3">
      <c r="A3" s="6"/>
      <c r="B3" s="6"/>
      <c r="C3" s="6"/>
      <c r="D3" s="6"/>
      <c r="E3" s="6"/>
      <c r="F3" s="6"/>
      <c r="G3" s="6"/>
      <c r="H3" s="6"/>
      <c r="I3" s="6"/>
      <c r="J3" s="6"/>
    </row>
    <row r="5" spans="1:10" ht="21.75" customHeight="1" x14ac:dyDescent="0.3">
      <c r="A5" s="9" t="s">
        <v>656</v>
      </c>
      <c r="B5" s="9" t="s">
        <v>657</v>
      </c>
      <c r="C5" s="9" t="s">
        <v>658</v>
      </c>
      <c r="D5" s="9" t="s">
        <v>659</v>
      </c>
      <c r="E5" s="9" t="s">
        <v>660</v>
      </c>
      <c r="F5" s="9" t="s">
        <v>661</v>
      </c>
      <c r="G5" s="9" t="s">
        <v>662</v>
      </c>
      <c r="H5" s="9" t="s">
        <v>663</v>
      </c>
      <c r="I5" s="9" t="s">
        <v>664</v>
      </c>
      <c r="J5" s="9" t="s">
        <v>665</v>
      </c>
    </row>
    <row r="6" spans="1:10" ht="45.75" customHeight="1" x14ac:dyDescent="0.3">
      <c r="A6" s="64">
        <v>109</v>
      </c>
      <c r="B6" s="65">
        <v>84</v>
      </c>
      <c r="C6" s="66">
        <v>25</v>
      </c>
      <c r="D6" s="67">
        <v>24</v>
      </c>
      <c r="E6" s="68">
        <v>0.77100000000000002</v>
      </c>
      <c r="F6" s="69">
        <v>0.24</v>
      </c>
      <c r="G6" s="69">
        <v>1.653</v>
      </c>
      <c r="H6" s="70">
        <v>0.40500000000000003</v>
      </c>
      <c r="I6" s="71" t="s">
        <v>666</v>
      </c>
      <c r="J6" s="72" t="s">
        <v>667</v>
      </c>
    </row>
    <row r="8" spans="1:10" ht="21.75" customHeight="1" x14ac:dyDescent="0.3">
      <c r="A8" s="5" t="s">
        <v>668</v>
      </c>
      <c r="B8" s="5"/>
      <c r="C8" s="5"/>
      <c r="D8" s="5"/>
      <c r="E8" s="5"/>
      <c r="F8" s="5"/>
      <c r="H8" s="4" t="s">
        <v>669</v>
      </c>
      <c r="I8" s="4"/>
      <c r="J8" s="4"/>
    </row>
    <row r="9" spans="1:10" ht="18" customHeight="1" x14ac:dyDescent="0.3">
      <c r="A9" s="9" t="s">
        <v>670</v>
      </c>
      <c r="B9" s="9" t="s">
        <v>671</v>
      </c>
      <c r="C9" s="9" t="s">
        <v>4</v>
      </c>
      <c r="D9" s="9" t="s">
        <v>20</v>
      </c>
      <c r="E9" s="9" t="s">
        <v>672</v>
      </c>
      <c r="F9" s="9" t="s">
        <v>673</v>
      </c>
      <c r="H9" s="9" t="s">
        <v>20</v>
      </c>
      <c r="I9" s="9" t="s">
        <v>674</v>
      </c>
      <c r="J9" s="9" t="s">
        <v>660</v>
      </c>
    </row>
    <row r="10" spans="1:10" ht="16.5" customHeight="1" x14ac:dyDescent="0.3">
      <c r="A10" s="73">
        <v>1</v>
      </c>
      <c r="B10" s="73" t="s">
        <v>421</v>
      </c>
      <c r="C10" s="74" t="s">
        <v>422</v>
      </c>
      <c r="D10" s="75" t="s">
        <v>224</v>
      </c>
      <c r="E10" s="76" t="s">
        <v>63</v>
      </c>
      <c r="F10" s="77">
        <v>1.6530609999999999</v>
      </c>
      <c r="H10" s="78" t="s">
        <v>345</v>
      </c>
      <c r="I10" s="79">
        <v>2</v>
      </c>
      <c r="J10" s="80">
        <v>1</v>
      </c>
    </row>
    <row r="11" spans="1:10" ht="16.5" customHeight="1" x14ac:dyDescent="0.3">
      <c r="A11" s="11">
        <v>2</v>
      </c>
      <c r="B11" s="11" t="s">
        <v>108</v>
      </c>
      <c r="C11" s="81" t="s">
        <v>108</v>
      </c>
      <c r="D11" s="53" t="s">
        <v>110</v>
      </c>
      <c r="E11" s="46" t="s">
        <v>63</v>
      </c>
      <c r="F11" s="82">
        <v>1.3651690000000001</v>
      </c>
      <c r="H11" s="12" t="s">
        <v>197</v>
      </c>
      <c r="I11" s="81">
        <v>2</v>
      </c>
      <c r="J11" s="83">
        <v>0</v>
      </c>
    </row>
    <row r="12" spans="1:10" ht="16.5" customHeight="1" x14ac:dyDescent="0.3">
      <c r="A12" s="73">
        <v>3</v>
      </c>
      <c r="B12" s="73" t="s">
        <v>644</v>
      </c>
      <c r="C12" s="74" t="s">
        <v>645</v>
      </c>
      <c r="D12" s="75" t="s">
        <v>410</v>
      </c>
      <c r="E12" s="76" t="s">
        <v>63</v>
      </c>
      <c r="F12" s="77">
        <v>1.142857</v>
      </c>
      <c r="H12" s="78" t="s">
        <v>45</v>
      </c>
      <c r="I12" s="79">
        <v>8</v>
      </c>
      <c r="J12" s="80">
        <v>0.75</v>
      </c>
    </row>
    <row r="13" spans="1:10" ht="16.5" customHeight="1" x14ac:dyDescent="0.3">
      <c r="A13" s="11">
        <v>4</v>
      </c>
      <c r="B13" s="11" t="s">
        <v>449</v>
      </c>
      <c r="C13" s="81" t="s">
        <v>450</v>
      </c>
      <c r="D13" s="53" t="s">
        <v>137</v>
      </c>
      <c r="E13" s="46" t="s">
        <v>63</v>
      </c>
      <c r="F13" s="82">
        <v>0.787879</v>
      </c>
      <c r="H13" s="12" t="s">
        <v>173</v>
      </c>
      <c r="I13" s="81">
        <v>2</v>
      </c>
      <c r="J13" s="82">
        <v>1</v>
      </c>
    </row>
    <row r="14" spans="1:10" ht="16.5" customHeight="1" x14ac:dyDescent="0.3">
      <c r="A14" s="73">
        <v>5</v>
      </c>
      <c r="B14" s="73" t="s">
        <v>528</v>
      </c>
      <c r="C14" s="74" t="s">
        <v>529</v>
      </c>
      <c r="D14" s="75" t="s">
        <v>203</v>
      </c>
      <c r="E14" s="76" t="s">
        <v>63</v>
      </c>
      <c r="F14" s="77">
        <v>0.73912999999999995</v>
      </c>
      <c r="H14" s="78" t="s">
        <v>31</v>
      </c>
      <c r="I14" s="79">
        <v>7</v>
      </c>
      <c r="J14" s="84">
        <v>0.57142857142857095</v>
      </c>
    </row>
    <row r="15" spans="1:10" ht="16.5" customHeight="1" x14ac:dyDescent="0.3">
      <c r="A15" s="11">
        <v>6</v>
      </c>
      <c r="B15" s="11" t="s">
        <v>139</v>
      </c>
      <c r="C15" s="81" t="s">
        <v>140</v>
      </c>
      <c r="D15" s="53" t="s">
        <v>97</v>
      </c>
      <c r="E15" s="46" t="s">
        <v>63</v>
      </c>
      <c r="F15" s="82">
        <v>0.56200000000000006</v>
      </c>
      <c r="H15" s="12" t="s">
        <v>570</v>
      </c>
      <c r="I15" s="81">
        <v>1</v>
      </c>
      <c r="J15" s="82">
        <v>1</v>
      </c>
    </row>
    <row r="16" spans="1:10" ht="16.5" customHeight="1" x14ac:dyDescent="0.3">
      <c r="A16" s="73">
        <v>7</v>
      </c>
      <c r="B16" s="73" t="s">
        <v>401</v>
      </c>
      <c r="C16" s="74" t="s">
        <v>402</v>
      </c>
      <c r="D16" s="75" t="s">
        <v>110</v>
      </c>
      <c r="E16" s="76" t="s">
        <v>63</v>
      </c>
      <c r="F16" s="77">
        <v>0.491228</v>
      </c>
      <c r="H16" s="78" t="s">
        <v>367</v>
      </c>
      <c r="I16" s="79">
        <v>1</v>
      </c>
      <c r="J16" s="85">
        <v>0</v>
      </c>
    </row>
    <row r="17" spans="1:10" ht="16.5" customHeight="1" x14ac:dyDescent="0.3">
      <c r="A17" s="11">
        <v>8</v>
      </c>
      <c r="B17" s="11" t="s">
        <v>175</v>
      </c>
      <c r="C17" s="81" t="s">
        <v>176</v>
      </c>
      <c r="D17" s="53" t="s">
        <v>173</v>
      </c>
      <c r="E17" s="46" t="s">
        <v>63</v>
      </c>
      <c r="F17" s="82">
        <v>0.45555600000000002</v>
      </c>
      <c r="H17" s="12" t="s">
        <v>132</v>
      </c>
      <c r="I17" s="81">
        <v>3</v>
      </c>
      <c r="J17" s="83">
        <v>0.33333333333333298</v>
      </c>
    </row>
    <row r="18" spans="1:10" ht="16.5" customHeight="1" x14ac:dyDescent="0.3">
      <c r="A18" s="73">
        <v>9</v>
      </c>
      <c r="B18" s="73" t="s">
        <v>165</v>
      </c>
      <c r="C18" s="74" t="s">
        <v>165</v>
      </c>
      <c r="D18" s="75" t="s">
        <v>64</v>
      </c>
      <c r="E18" s="76" t="s">
        <v>63</v>
      </c>
      <c r="F18" s="77">
        <v>0.4</v>
      </c>
      <c r="H18" s="78" t="s">
        <v>158</v>
      </c>
      <c r="I18" s="79">
        <v>6</v>
      </c>
      <c r="J18" s="80">
        <v>1</v>
      </c>
    </row>
    <row r="19" spans="1:10" ht="16.5" customHeight="1" x14ac:dyDescent="0.3">
      <c r="A19" s="11">
        <v>10</v>
      </c>
      <c r="B19" s="11" t="s">
        <v>285</v>
      </c>
      <c r="C19" s="81" t="s">
        <v>285</v>
      </c>
      <c r="D19" s="53" t="s">
        <v>110</v>
      </c>
      <c r="E19" s="46" t="s">
        <v>63</v>
      </c>
      <c r="F19" s="82">
        <v>0.37930999999999998</v>
      </c>
      <c r="H19" s="12" t="s">
        <v>224</v>
      </c>
      <c r="I19" s="81">
        <v>5</v>
      </c>
      <c r="J19" s="82">
        <v>1</v>
      </c>
    </row>
    <row r="20" spans="1:10" ht="16.5" customHeight="1" x14ac:dyDescent="0.3">
      <c r="H20" s="78" t="s">
        <v>546</v>
      </c>
      <c r="I20" s="79">
        <v>1</v>
      </c>
      <c r="J20" s="80">
        <v>1</v>
      </c>
    </row>
    <row r="21" spans="1:10" ht="16.5" customHeight="1" x14ac:dyDescent="0.3">
      <c r="A21" s="3" t="s">
        <v>675</v>
      </c>
      <c r="B21" s="3"/>
      <c r="C21" s="3"/>
      <c r="D21" s="3"/>
      <c r="E21" s="3"/>
      <c r="F21" s="3"/>
      <c r="H21" s="12" t="s">
        <v>148</v>
      </c>
      <c r="I21" s="81">
        <v>6</v>
      </c>
      <c r="J21" s="86">
        <v>0.5</v>
      </c>
    </row>
    <row r="22" spans="1:10" ht="16.5" customHeight="1" x14ac:dyDescent="0.3">
      <c r="A22" s="9" t="s">
        <v>670</v>
      </c>
      <c r="B22" s="9" t="s">
        <v>671</v>
      </c>
      <c r="C22" s="9" t="s">
        <v>4</v>
      </c>
      <c r="D22" s="9" t="s">
        <v>20</v>
      </c>
      <c r="E22" s="9" t="s">
        <v>676</v>
      </c>
      <c r="F22" s="9" t="s">
        <v>677</v>
      </c>
      <c r="H22" s="78" t="s">
        <v>203</v>
      </c>
      <c r="I22" s="79">
        <v>2</v>
      </c>
      <c r="J22" s="84">
        <v>0.5</v>
      </c>
    </row>
    <row r="23" spans="1:10" ht="16.5" customHeight="1" x14ac:dyDescent="0.3">
      <c r="A23" s="87">
        <v>1</v>
      </c>
      <c r="B23" s="88" t="s">
        <v>195</v>
      </c>
      <c r="C23" s="89" t="s">
        <v>195</v>
      </c>
      <c r="D23" s="90" t="s">
        <v>197</v>
      </c>
      <c r="E23" s="88" t="s">
        <v>30</v>
      </c>
      <c r="F23" s="91">
        <v>-0.111111</v>
      </c>
      <c r="H23" s="12" t="s">
        <v>97</v>
      </c>
      <c r="I23" s="81">
        <v>9</v>
      </c>
      <c r="J23" s="86">
        <v>0.55555555555555602</v>
      </c>
    </row>
    <row r="24" spans="1:10" ht="16.5" customHeight="1" x14ac:dyDescent="0.3">
      <c r="A24" s="11">
        <v>2</v>
      </c>
      <c r="B24" s="23" t="s">
        <v>387</v>
      </c>
      <c r="C24" s="81" t="s">
        <v>388</v>
      </c>
      <c r="D24" s="53" t="s">
        <v>31</v>
      </c>
      <c r="E24" s="23" t="s">
        <v>30</v>
      </c>
      <c r="F24" s="83">
        <v>-0.107143</v>
      </c>
      <c r="H24" s="78" t="s">
        <v>210</v>
      </c>
      <c r="I24" s="79">
        <v>3</v>
      </c>
      <c r="J24" s="84">
        <v>0.66666666666666696</v>
      </c>
    </row>
    <row r="25" spans="1:10" ht="16.5" customHeight="1" x14ac:dyDescent="0.3">
      <c r="A25" s="87">
        <v>3</v>
      </c>
      <c r="B25" s="88" t="s">
        <v>145</v>
      </c>
      <c r="C25" s="89" t="s">
        <v>145</v>
      </c>
      <c r="D25" s="90" t="s">
        <v>148</v>
      </c>
      <c r="E25" s="88" t="s">
        <v>30</v>
      </c>
      <c r="F25" s="91">
        <v>-7.0269999999999999E-2</v>
      </c>
      <c r="H25" s="12" t="s">
        <v>317</v>
      </c>
      <c r="I25" s="81">
        <v>1</v>
      </c>
      <c r="J25" s="83">
        <v>0</v>
      </c>
    </row>
    <row r="26" spans="1:10" ht="16.5" customHeight="1" x14ac:dyDescent="0.3">
      <c r="A26" s="11">
        <v>4</v>
      </c>
      <c r="B26" s="23" t="s">
        <v>364</v>
      </c>
      <c r="C26" s="81" t="s">
        <v>365</v>
      </c>
      <c r="D26" s="53" t="s">
        <v>367</v>
      </c>
      <c r="E26" s="23" t="s">
        <v>30</v>
      </c>
      <c r="F26" s="83">
        <v>-6.3291E-2</v>
      </c>
      <c r="H26" s="78" t="s">
        <v>38</v>
      </c>
      <c r="I26" s="79">
        <v>7</v>
      </c>
      <c r="J26" s="80">
        <v>0.71428571428571397</v>
      </c>
    </row>
    <row r="27" spans="1:10" ht="16.5" customHeight="1" x14ac:dyDescent="0.3">
      <c r="A27" s="87">
        <v>5</v>
      </c>
      <c r="B27" s="88" t="s">
        <v>246</v>
      </c>
      <c r="C27" s="89" t="s">
        <v>246</v>
      </c>
      <c r="D27" s="90" t="s">
        <v>132</v>
      </c>
      <c r="E27" s="88" t="s">
        <v>30</v>
      </c>
      <c r="F27" s="91">
        <v>-5.8824000000000001E-2</v>
      </c>
      <c r="H27" s="12" t="s">
        <v>110</v>
      </c>
      <c r="I27" s="81">
        <v>8</v>
      </c>
      <c r="J27" s="82">
        <v>1</v>
      </c>
    </row>
    <row r="28" spans="1:10" ht="16.5" customHeight="1" x14ac:dyDescent="0.3">
      <c r="H28" s="78" t="s">
        <v>219</v>
      </c>
      <c r="I28" s="79">
        <v>1</v>
      </c>
      <c r="J28" s="80">
        <v>1</v>
      </c>
    </row>
    <row r="29" spans="1:10" ht="16.5" customHeight="1" x14ac:dyDescent="0.3">
      <c r="H29" s="12" t="s">
        <v>475</v>
      </c>
      <c r="I29" s="81">
        <v>2</v>
      </c>
      <c r="J29" s="82">
        <v>1</v>
      </c>
    </row>
    <row r="30" spans="1:10" ht="16.5" customHeight="1" x14ac:dyDescent="0.3">
      <c r="H30" s="78" t="s">
        <v>188</v>
      </c>
      <c r="I30" s="79">
        <v>1</v>
      </c>
      <c r="J30" s="80">
        <v>1</v>
      </c>
    </row>
    <row r="31" spans="1:10" ht="16.5" customHeight="1" x14ac:dyDescent="0.3">
      <c r="H31" s="12" t="s">
        <v>75</v>
      </c>
      <c r="I31" s="81">
        <v>13</v>
      </c>
      <c r="J31" s="82">
        <v>0.92307692307692302</v>
      </c>
    </row>
    <row r="32" spans="1:10" ht="16.5" customHeight="1" x14ac:dyDescent="0.3">
      <c r="H32" s="78" t="s">
        <v>64</v>
      </c>
      <c r="I32" s="79">
        <v>8</v>
      </c>
      <c r="J32" s="80">
        <v>0.875</v>
      </c>
    </row>
    <row r="33" spans="8:10" ht="16.5" customHeight="1" x14ac:dyDescent="0.3">
      <c r="H33" s="12" t="s">
        <v>283</v>
      </c>
      <c r="I33" s="81">
        <v>0</v>
      </c>
      <c r="J33" s="83">
        <v>0</v>
      </c>
    </row>
    <row r="34" spans="8:10" ht="16.5" customHeight="1" x14ac:dyDescent="0.3">
      <c r="H34" s="78" t="s">
        <v>55</v>
      </c>
      <c r="I34" s="79">
        <v>3</v>
      </c>
      <c r="J34" s="80">
        <v>1</v>
      </c>
    </row>
    <row r="35" spans="8:10" ht="16.5" customHeight="1" x14ac:dyDescent="0.3">
      <c r="H35" s="12" t="s">
        <v>410</v>
      </c>
      <c r="I35" s="81">
        <v>2</v>
      </c>
      <c r="J35" s="82">
        <v>1</v>
      </c>
    </row>
    <row r="36" spans="8:10" ht="16.5" customHeight="1" x14ac:dyDescent="0.3">
      <c r="H36" s="78" t="s">
        <v>85</v>
      </c>
      <c r="I36" s="79">
        <v>1</v>
      </c>
      <c r="J36" s="85">
        <v>0</v>
      </c>
    </row>
    <row r="37" spans="8:10" ht="16.5" customHeight="1" x14ac:dyDescent="0.3">
      <c r="H37" s="12" t="s">
        <v>526</v>
      </c>
      <c r="I37" s="81">
        <v>1</v>
      </c>
      <c r="J37" s="82">
        <v>1</v>
      </c>
    </row>
    <row r="38" spans="8:10" ht="16.5" customHeight="1" x14ac:dyDescent="0.3">
      <c r="H38" s="78" t="s">
        <v>334</v>
      </c>
      <c r="I38" s="79">
        <v>2</v>
      </c>
      <c r="J38" s="80">
        <v>1</v>
      </c>
    </row>
    <row r="39" spans="8:10" ht="16.5" customHeight="1" x14ac:dyDescent="0.3">
      <c r="H39" s="12" t="s">
        <v>137</v>
      </c>
      <c r="I39" s="81">
        <v>1</v>
      </c>
      <c r="J39" s="82">
        <v>1</v>
      </c>
    </row>
  </sheetData>
  <mergeCells count="6">
    <mergeCell ref="A21:F21"/>
    <mergeCell ref="A1:J1"/>
    <mergeCell ref="A2:J2"/>
    <mergeCell ref="A3:J3"/>
    <mergeCell ref="A8:F8"/>
    <mergeCell ref="H8:J8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41"/>
  <sheetViews>
    <sheetView showGridLines="0" topLeftCell="C6" zoomScaleNormal="100" workbookViewId="0">
      <selection activeCell="T34" sqref="T34"/>
    </sheetView>
  </sheetViews>
  <sheetFormatPr defaultColWidth="8.6640625" defaultRowHeight="14.4" x14ac:dyDescent="0.3"/>
  <cols>
    <col min="1" max="2" width="16" bestFit="1" customWidth="1"/>
    <col min="3" max="3" width="11.88671875" bestFit="1" customWidth="1"/>
    <col min="4" max="4" width="11.77734375" bestFit="1" customWidth="1"/>
    <col min="5" max="5" width="16" bestFit="1" customWidth="1"/>
    <col min="6" max="6" width="8.88671875" bestFit="1" customWidth="1"/>
    <col min="7" max="7" width="9.88671875" bestFit="1" customWidth="1"/>
    <col min="8" max="8" width="10.21875" bestFit="1" customWidth="1"/>
  </cols>
  <sheetData>
    <row r="1" spans="1:8" ht="30" customHeight="1" x14ac:dyDescent="0.3">
      <c r="A1" s="2" t="s">
        <v>678</v>
      </c>
      <c r="B1" s="2"/>
      <c r="C1" s="2"/>
      <c r="D1" s="2"/>
      <c r="E1" s="2"/>
      <c r="F1" s="2"/>
      <c r="G1" s="2"/>
      <c r="H1" s="2"/>
    </row>
    <row r="2" spans="1:8" ht="13.5" customHeight="1" x14ac:dyDescent="0.3">
      <c r="A2" s="7" t="s">
        <v>783</v>
      </c>
      <c r="B2" s="7"/>
      <c r="C2" s="7"/>
      <c r="D2" s="7"/>
      <c r="E2" s="7"/>
      <c r="F2" s="7"/>
      <c r="G2" s="7"/>
      <c r="H2" s="7"/>
    </row>
    <row r="3" spans="1:8" ht="3.75" customHeight="1" x14ac:dyDescent="0.3">
      <c r="A3" s="6"/>
      <c r="B3" s="6"/>
      <c r="C3" s="6"/>
      <c r="D3" s="6"/>
      <c r="E3" s="6"/>
      <c r="F3" s="6"/>
      <c r="G3" s="6"/>
      <c r="H3" s="6"/>
    </row>
    <row r="5" spans="1:8" ht="19.5" customHeight="1" x14ac:dyDescent="0.3">
      <c r="A5" s="9" t="s">
        <v>679</v>
      </c>
      <c r="B5" s="9" t="s">
        <v>680</v>
      </c>
      <c r="C5" s="9" t="s">
        <v>681</v>
      </c>
      <c r="D5" s="9" t="s">
        <v>682</v>
      </c>
      <c r="E5" s="9" t="s">
        <v>683</v>
      </c>
      <c r="F5" s="9" t="s">
        <v>660</v>
      </c>
    </row>
    <row r="6" spans="1:8" ht="39.75" customHeight="1" x14ac:dyDescent="0.3">
      <c r="A6" s="142">
        <v>1000000</v>
      </c>
      <c r="B6" s="143">
        <v>2565184</v>
      </c>
      <c r="C6" s="92" t="s">
        <v>684</v>
      </c>
      <c r="D6" s="93" t="s">
        <v>685</v>
      </c>
      <c r="E6" s="144">
        <v>1607672</v>
      </c>
      <c r="F6" s="94" t="s">
        <v>686</v>
      </c>
    </row>
    <row r="8" spans="1:8" ht="19.5" customHeight="1" x14ac:dyDescent="0.3">
      <c r="A8" s="9" t="s">
        <v>687</v>
      </c>
      <c r="B8" s="9" t="s">
        <v>22</v>
      </c>
      <c r="C8" s="9" t="s">
        <v>3</v>
      </c>
      <c r="D8" s="9" t="s">
        <v>688</v>
      </c>
      <c r="E8" s="9" t="s">
        <v>689</v>
      </c>
      <c r="F8" s="9" t="s">
        <v>690</v>
      </c>
      <c r="G8" s="9" t="s">
        <v>691</v>
      </c>
      <c r="H8" s="9" t="s">
        <v>692</v>
      </c>
    </row>
    <row r="9" spans="1:8" ht="16.5" customHeight="1" x14ac:dyDescent="0.3">
      <c r="A9" s="95" t="s">
        <v>693</v>
      </c>
      <c r="B9" s="95" t="s">
        <v>693</v>
      </c>
      <c r="C9" s="96" t="s">
        <v>23</v>
      </c>
      <c r="D9" s="97">
        <v>-2.5000000000000001E-2</v>
      </c>
      <c r="E9" s="98">
        <v>50000</v>
      </c>
      <c r="F9" s="99">
        <v>-1250</v>
      </c>
      <c r="G9" s="100">
        <v>998750</v>
      </c>
      <c r="H9" s="97">
        <v>-1.1999999999999999E-3</v>
      </c>
    </row>
    <row r="10" spans="1:8" ht="16.5" customHeight="1" x14ac:dyDescent="0.3">
      <c r="A10" s="101" t="s">
        <v>694</v>
      </c>
      <c r="B10" s="101" t="s">
        <v>693</v>
      </c>
      <c r="C10" s="102" t="s">
        <v>34</v>
      </c>
      <c r="D10" s="103">
        <v>-2.86E-2</v>
      </c>
      <c r="E10" s="104">
        <v>49938</v>
      </c>
      <c r="F10" s="105">
        <v>-1427</v>
      </c>
      <c r="G10" s="106">
        <v>997323</v>
      </c>
      <c r="H10" s="103">
        <v>-2.7000000000000001E-3</v>
      </c>
    </row>
    <row r="11" spans="1:8" ht="16.5" customHeight="1" x14ac:dyDescent="0.3">
      <c r="A11" s="95" t="s">
        <v>695</v>
      </c>
      <c r="B11" s="95" t="s">
        <v>694</v>
      </c>
      <c r="C11" s="96" t="s">
        <v>41</v>
      </c>
      <c r="D11" s="97">
        <v>-3.85E-2</v>
      </c>
      <c r="E11" s="98">
        <v>49866</v>
      </c>
      <c r="F11" s="99">
        <v>-1918</v>
      </c>
      <c r="G11" s="100">
        <v>995405</v>
      </c>
      <c r="H11" s="97">
        <v>-4.5999999999999999E-3</v>
      </c>
    </row>
    <row r="12" spans="1:8" ht="16.5" customHeight="1" x14ac:dyDescent="0.3">
      <c r="A12" s="107" t="s">
        <v>696</v>
      </c>
      <c r="B12" s="107" t="s">
        <v>695</v>
      </c>
      <c r="C12" s="108" t="s">
        <v>48</v>
      </c>
      <c r="D12" s="109">
        <v>5.9499999999999997E-2</v>
      </c>
      <c r="E12" s="110">
        <v>49770</v>
      </c>
      <c r="F12" s="111">
        <v>2963</v>
      </c>
      <c r="G12" s="111">
        <v>998368</v>
      </c>
      <c r="H12" s="112">
        <v>-1.6000000000000001E-3</v>
      </c>
    </row>
    <row r="13" spans="1:8" ht="16.5" customHeight="1" x14ac:dyDescent="0.3">
      <c r="A13" s="95" t="s">
        <v>161</v>
      </c>
      <c r="B13" s="95" t="s">
        <v>696</v>
      </c>
      <c r="C13" s="96" t="s">
        <v>94</v>
      </c>
      <c r="D13" s="97">
        <v>-1.18E-2</v>
      </c>
      <c r="E13" s="98">
        <v>49918</v>
      </c>
      <c r="F13" s="99">
        <v>-587</v>
      </c>
      <c r="G13" s="100">
        <v>997781</v>
      </c>
      <c r="H13" s="97">
        <v>-2.2000000000000001E-3</v>
      </c>
    </row>
    <row r="14" spans="1:8" ht="16.5" customHeight="1" x14ac:dyDescent="0.3">
      <c r="A14" s="101" t="s">
        <v>697</v>
      </c>
      <c r="B14" s="101" t="s">
        <v>161</v>
      </c>
      <c r="C14" s="102" t="s">
        <v>119</v>
      </c>
      <c r="D14" s="103">
        <v>-5.8799999999999998E-2</v>
      </c>
      <c r="E14" s="104">
        <v>49889</v>
      </c>
      <c r="F14" s="105">
        <v>-2935</v>
      </c>
      <c r="G14" s="106">
        <v>994846</v>
      </c>
      <c r="H14" s="103">
        <v>-5.1999999999999998E-3</v>
      </c>
    </row>
    <row r="15" spans="1:8" ht="16.5" customHeight="1" x14ac:dyDescent="0.3">
      <c r="A15" s="95" t="s">
        <v>698</v>
      </c>
      <c r="B15" s="95" t="s">
        <v>697</v>
      </c>
      <c r="C15" s="96" t="s">
        <v>67</v>
      </c>
      <c r="D15" s="113">
        <v>6.93E-2</v>
      </c>
      <c r="E15" s="98">
        <v>49742</v>
      </c>
      <c r="F15" s="100">
        <v>3446</v>
      </c>
      <c r="G15" s="100">
        <v>998292</v>
      </c>
      <c r="H15" s="97">
        <v>-1.6999999999999999E-3</v>
      </c>
    </row>
    <row r="16" spans="1:8" ht="16.5" customHeight="1" x14ac:dyDescent="0.3">
      <c r="A16" s="107" t="s">
        <v>698</v>
      </c>
      <c r="B16" s="107" t="s">
        <v>698</v>
      </c>
      <c r="C16" s="108" t="s">
        <v>78</v>
      </c>
      <c r="D16" s="109">
        <v>0.125</v>
      </c>
      <c r="E16" s="110">
        <v>49915</v>
      </c>
      <c r="F16" s="111">
        <v>6239</v>
      </c>
      <c r="G16" s="111">
        <v>1004532</v>
      </c>
      <c r="H16" s="109">
        <v>4.4999999999999997E-3</v>
      </c>
    </row>
    <row r="17" spans="1:8" ht="16.5" customHeight="1" x14ac:dyDescent="0.3">
      <c r="A17" s="95" t="s">
        <v>699</v>
      </c>
      <c r="B17" s="95" t="s">
        <v>698</v>
      </c>
      <c r="C17" s="96" t="s">
        <v>129</v>
      </c>
      <c r="D17" s="113">
        <v>5.8799999999999998E-2</v>
      </c>
      <c r="E17" s="98">
        <v>50227</v>
      </c>
      <c r="F17" s="100">
        <v>2955</v>
      </c>
      <c r="G17" s="100">
        <v>1007486</v>
      </c>
      <c r="H17" s="113">
        <v>7.4999999999999997E-3</v>
      </c>
    </row>
    <row r="18" spans="1:8" ht="16.5" customHeight="1" x14ac:dyDescent="0.3">
      <c r="A18" s="101" t="s">
        <v>700</v>
      </c>
      <c r="B18" s="101" t="s">
        <v>699</v>
      </c>
      <c r="C18" s="102" t="s">
        <v>195</v>
      </c>
      <c r="D18" s="103">
        <v>-0.1111</v>
      </c>
      <c r="E18" s="104">
        <v>50374</v>
      </c>
      <c r="F18" s="105">
        <v>-5597</v>
      </c>
      <c r="G18" s="106">
        <v>1001889</v>
      </c>
      <c r="H18" s="114">
        <v>1.9E-3</v>
      </c>
    </row>
    <row r="19" spans="1:8" ht="16.5" customHeight="1" x14ac:dyDescent="0.3">
      <c r="A19" s="95" t="s">
        <v>701</v>
      </c>
      <c r="B19" s="95" t="s">
        <v>700</v>
      </c>
      <c r="C19" s="96" t="s">
        <v>200</v>
      </c>
      <c r="D19" s="97">
        <v>-3.6999999999999998E-2</v>
      </c>
      <c r="E19" s="98">
        <v>50094</v>
      </c>
      <c r="F19" s="99">
        <v>-1855</v>
      </c>
      <c r="G19" s="100">
        <v>1000034</v>
      </c>
      <c r="H19" s="113">
        <v>0</v>
      </c>
    </row>
    <row r="20" spans="1:8" ht="16.5" customHeight="1" x14ac:dyDescent="0.3">
      <c r="A20" s="107" t="s">
        <v>701</v>
      </c>
      <c r="B20" s="107" t="s">
        <v>701</v>
      </c>
      <c r="C20" s="108" t="s">
        <v>145</v>
      </c>
      <c r="D20" s="109">
        <v>0.19289999999999999</v>
      </c>
      <c r="E20" s="110">
        <v>50002</v>
      </c>
      <c r="F20" s="111">
        <v>9643</v>
      </c>
      <c r="G20" s="111">
        <v>1009677</v>
      </c>
      <c r="H20" s="109">
        <v>9.7000000000000003E-3</v>
      </c>
    </row>
    <row r="21" spans="1:8" ht="16.5" customHeight="1" x14ac:dyDescent="0.3">
      <c r="A21" s="95" t="s">
        <v>702</v>
      </c>
      <c r="B21" s="95" t="s">
        <v>701</v>
      </c>
      <c r="C21" s="96" t="s">
        <v>160</v>
      </c>
      <c r="D21" s="113">
        <v>0.16669999999999999</v>
      </c>
      <c r="E21" s="98">
        <v>50484</v>
      </c>
      <c r="F21" s="100">
        <v>8414</v>
      </c>
      <c r="G21" s="100">
        <v>1018091</v>
      </c>
      <c r="H21" s="113">
        <v>1.8100000000000002E-2</v>
      </c>
    </row>
    <row r="22" spans="1:8" ht="16.5" customHeight="1" x14ac:dyDescent="0.3">
      <c r="A22" s="107" t="s">
        <v>703</v>
      </c>
      <c r="B22" s="107" t="s">
        <v>702</v>
      </c>
      <c r="C22" s="108" t="s">
        <v>169</v>
      </c>
      <c r="D22" s="109">
        <v>9.0899999999999995E-2</v>
      </c>
      <c r="E22" s="110">
        <v>50905</v>
      </c>
      <c r="F22" s="111">
        <v>4628</v>
      </c>
      <c r="G22" s="111">
        <v>1022719</v>
      </c>
      <c r="H22" s="109">
        <v>2.2700000000000001E-2</v>
      </c>
    </row>
    <row r="23" spans="1:8" ht="16.5" customHeight="1" x14ac:dyDescent="0.3">
      <c r="A23" s="95" t="s">
        <v>703</v>
      </c>
      <c r="B23" s="95" t="s">
        <v>703</v>
      </c>
      <c r="C23" s="96" t="s">
        <v>100</v>
      </c>
      <c r="D23" s="113">
        <v>0.25</v>
      </c>
      <c r="E23" s="98">
        <v>51136</v>
      </c>
      <c r="F23" s="100">
        <v>12784</v>
      </c>
      <c r="G23" s="100">
        <v>1035502</v>
      </c>
      <c r="H23" s="113">
        <v>3.5499999999999997E-2</v>
      </c>
    </row>
    <row r="24" spans="1:8" ht="16.5" customHeight="1" x14ac:dyDescent="0.3">
      <c r="A24" s="107" t="s">
        <v>704</v>
      </c>
      <c r="B24" s="107" t="s">
        <v>703</v>
      </c>
      <c r="C24" s="108" t="s">
        <v>113</v>
      </c>
      <c r="D24" s="109">
        <v>0.14430000000000001</v>
      </c>
      <c r="E24" s="110">
        <v>51775</v>
      </c>
      <c r="F24" s="111">
        <v>7470</v>
      </c>
      <c r="G24" s="111">
        <v>1042973</v>
      </c>
      <c r="H24" s="109">
        <v>4.2999999999999997E-2</v>
      </c>
    </row>
    <row r="25" spans="1:8" ht="16.5" customHeight="1" x14ac:dyDescent="0.3">
      <c r="A25" s="95" t="s">
        <v>705</v>
      </c>
      <c r="B25" s="95" t="s">
        <v>704</v>
      </c>
      <c r="C25" s="96" t="s">
        <v>58</v>
      </c>
      <c r="D25" s="113">
        <v>0.21</v>
      </c>
      <c r="E25" s="98">
        <v>52149</v>
      </c>
      <c r="F25" s="100">
        <v>10951</v>
      </c>
      <c r="G25" s="100">
        <v>1053924</v>
      </c>
      <c r="H25" s="113">
        <v>5.3900000000000003E-2</v>
      </c>
    </row>
    <row r="26" spans="1:8" ht="16.5" customHeight="1" x14ac:dyDescent="0.3">
      <c r="A26" s="107" t="s">
        <v>259</v>
      </c>
      <c r="B26" s="107" t="s">
        <v>705</v>
      </c>
      <c r="C26" s="108" t="s">
        <v>73</v>
      </c>
      <c r="D26" s="109">
        <v>0.30499999999999999</v>
      </c>
      <c r="E26" s="110">
        <v>52696</v>
      </c>
      <c r="F26" s="111">
        <v>16072</v>
      </c>
      <c r="G26" s="111">
        <v>1069996</v>
      </c>
      <c r="H26" s="109">
        <v>7.0000000000000007E-2</v>
      </c>
    </row>
    <row r="27" spans="1:8" ht="16.5" customHeight="1" x14ac:dyDescent="0.3">
      <c r="A27" s="95" t="s">
        <v>264</v>
      </c>
      <c r="B27" s="95" t="s">
        <v>259</v>
      </c>
      <c r="C27" s="96" t="s">
        <v>205</v>
      </c>
      <c r="D27" s="113">
        <v>0</v>
      </c>
      <c r="E27" s="98">
        <v>53500</v>
      </c>
      <c r="F27" s="100">
        <v>0</v>
      </c>
      <c r="G27" s="100">
        <v>1069996</v>
      </c>
      <c r="H27" s="113">
        <v>7.0000000000000007E-2</v>
      </c>
    </row>
    <row r="28" spans="1:8" ht="16.5" customHeight="1" x14ac:dyDescent="0.3">
      <c r="A28" s="107" t="s">
        <v>264</v>
      </c>
      <c r="B28" s="107" t="s">
        <v>264</v>
      </c>
      <c r="C28" s="108" t="s">
        <v>213</v>
      </c>
      <c r="D28" s="109">
        <v>0.30769999999999997</v>
      </c>
      <c r="E28" s="110">
        <v>53500</v>
      </c>
      <c r="F28" s="111">
        <v>16461</v>
      </c>
      <c r="G28" s="111">
        <v>1086458</v>
      </c>
      <c r="H28" s="109">
        <v>8.6499999999999994E-2</v>
      </c>
    </row>
    <row r="29" spans="1:8" ht="16.5" customHeight="1" x14ac:dyDescent="0.3">
      <c r="A29" s="95" t="s">
        <v>264</v>
      </c>
      <c r="B29" s="95" t="s">
        <v>264</v>
      </c>
      <c r="C29" s="96" t="s">
        <v>216</v>
      </c>
      <c r="D29" s="113">
        <v>0.11700000000000001</v>
      </c>
      <c r="E29" s="98">
        <v>54323</v>
      </c>
      <c r="F29" s="100">
        <v>6357</v>
      </c>
      <c r="G29" s="100">
        <v>1092815</v>
      </c>
      <c r="H29" s="113">
        <v>9.2799999999999994E-2</v>
      </c>
    </row>
    <row r="30" spans="1:8" ht="16.5" customHeight="1" x14ac:dyDescent="0.3">
      <c r="A30" s="101" t="s">
        <v>706</v>
      </c>
      <c r="B30" s="101" t="s">
        <v>264</v>
      </c>
      <c r="C30" s="102" t="s">
        <v>235</v>
      </c>
      <c r="D30" s="103">
        <v>-3.5099999999999999E-2</v>
      </c>
      <c r="E30" s="104">
        <v>54641</v>
      </c>
      <c r="F30" s="105">
        <v>-1917</v>
      </c>
      <c r="G30" s="106">
        <v>1090898</v>
      </c>
      <c r="H30" s="114">
        <v>9.0899999999999995E-2</v>
      </c>
    </row>
    <row r="31" spans="1:8" ht="16.5" customHeight="1" x14ac:dyDescent="0.3">
      <c r="A31" s="95" t="s">
        <v>706</v>
      </c>
      <c r="B31" s="95" t="s">
        <v>706</v>
      </c>
      <c r="C31" s="96" t="s">
        <v>205</v>
      </c>
      <c r="D31" s="97">
        <v>-4.1099999999999998E-2</v>
      </c>
      <c r="E31" s="98">
        <v>54545</v>
      </c>
      <c r="F31" s="99">
        <v>-2242</v>
      </c>
      <c r="G31" s="100">
        <v>1088656</v>
      </c>
      <c r="H31" s="113">
        <v>8.8700000000000001E-2</v>
      </c>
    </row>
    <row r="32" spans="1:8" ht="16.5" customHeight="1" x14ac:dyDescent="0.3">
      <c r="A32" s="107" t="s">
        <v>707</v>
      </c>
      <c r="B32" s="107" t="s">
        <v>706</v>
      </c>
      <c r="C32" s="108" t="s">
        <v>88</v>
      </c>
      <c r="D32" s="109">
        <v>0.248</v>
      </c>
      <c r="E32" s="110">
        <v>54433</v>
      </c>
      <c r="F32" s="111">
        <v>13499</v>
      </c>
      <c r="G32" s="111">
        <v>1102155</v>
      </c>
      <c r="H32" s="109">
        <v>0.1022</v>
      </c>
    </row>
    <row r="33" spans="1:8" ht="16.5" customHeight="1" x14ac:dyDescent="0.3">
      <c r="A33" s="95" t="s">
        <v>708</v>
      </c>
      <c r="B33" s="95" t="s">
        <v>707</v>
      </c>
      <c r="C33" s="96" t="s">
        <v>221</v>
      </c>
      <c r="D33" s="113">
        <v>7.1400000000000005E-2</v>
      </c>
      <c r="E33" s="98">
        <v>55108</v>
      </c>
      <c r="F33" s="100">
        <v>3936</v>
      </c>
      <c r="G33" s="100">
        <v>1106092</v>
      </c>
      <c r="H33" s="113">
        <v>0.1061</v>
      </c>
    </row>
    <row r="34" spans="1:8" ht="16.5" customHeight="1" x14ac:dyDescent="0.3">
      <c r="A34" s="107" t="s">
        <v>708</v>
      </c>
      <c r="B34" s="107" t="s">
        <v>708</v>
      </c>
      <c r="C34" s="108" t="s">
        <v>108</v>
      </c>
      <c r="D34" s="109">
        <v>1.3652</v>
      </c>
      <c r="E34" s="110">
        <v>55305</v>
      </c>
      <c r="F34" s="111">
        <v>75500</v>
      </c>
      <c r="G34" s="111">
        <v>1181592</v>
      </c>
      <c r="H34" s="109">
        <v>0.18160000000000001</v>
      </c>
    </row>
    <row r="35" spans="1:8" ht="16.5" customHeight="1" x14ac:dyDescent="0.3">
      <c r="A35" s="95" t="s">
        <v>273</v>
      </c>
      <c r="B35" s="95" t="s">
        <v>708</v>
      </c>
      <c r="C35" s="96" t="s">
        <v>241</v>
      </c>
      <c r="D35" s="97">
        <v>-3.3300000000000003E-2</v>
      </c>
      <c r="E35" s="98">
        <v>59080</v>
      </c>
      <c r="F35" s="99">
        <v>-1969</v>
      </c>
      <c r="G35" s="100">
        <v>1179622</v>
      </c>
      <c r="H35" s="113">
        <v>0.17960000000000001</v>
      </c>
    </row>
    <row r="36" spans="1:8" ht="16.5" customHeight="1" x14ac:dyDescent="0.3">
      <c r="A36" s="101" t="s">
        <v>273</v>
      </c>
      <c r="B36" s="101" t="s">
        <v>273</v>
      </c>
      <c r="C36" s="102" t="s">
        <v>246</v>
      </c>
      <c r="D36" s="103">
        <v>-5.8799999999999998E-2</v>
      </c>
      <c r="E36" s="104">
        <v>58981</v>
      </c>
      <c r="F36" s="105">
        <v>-3470</v>
      </c>
      <c r="G36" s="106">
        <v>1176153</v>
      </c>
      <c r="H36" s="114">
        <v>0.1762</v>
      </c>
    </row>
    <row r="37" spans="1:8" ht="16.5" customHeight="1" x14ac:dyDescent="0.3">
      <c r="A37" s="95" t="s">
        <v>273</v>
      </c>
      <c r="B37" s="95" t="s">
        <v>273</v>
      </c>
      <c r="C37" s="96" t="s">
        <v>248</v>
      </c>
      <c r="D37" s="97">
        <v>-0.05</v>
      </c>
      <c r="E37" s="98">
        <v>58808</v>
      </c>
      <c r="F37" s="99">
        <v>-2940</v>
      </c>
      <c r="G37" s="100">
        <v>1173213</v>
      </c>
      <c r="H37" s="113">
        <v>0.17319999999999999</v>
      </c>
    </row>
    <row r="38" spans="1:8" ht="16.5" customHeight="1" x14ac:dyDescent="0.3">
      <c r="A38" s="107" t="s">
        <v>709</v>
      </c>
      <c r="B38" s="107" t="s">
        <v>273</v>
      </c>
      <c r="C38" s="108" t="s">
        <v>230</v>
      </c>
      <c r="D38" s="109">
        <v>4.1700000000000001E-2</v>
      </c>
      <c r="E38" s="110">
        <v>58661</v>
      </c>
      <c r="F38" s="111">
        <v>2444</v>
      </c>
      <c r="G38" s="111">
        <v>1175657</v>
      </c>
      <c r="H38" s="109">
        <v>0.1757</v>
      </c>
    </row>
    <row r="39" spans="1:8" ht="16.5" customHeight="1" x14ac:dyDescent="0.3">
      <c r="A39" s="95" t="s">
        <v>278</v>
      </c>
      <c r="B39" s="95" t="s">
        <v>709</v>
      </c>
      <c r="C39" s="96" t="s">
        <v>181</v>
      </c>
      <c r="D39" s="113">
        <v>7.2700000000000001E-2</v>
      </c>
      <c r="E39" s="98">
        <v>58783</v>
      </c>
      <c r="F39" s="100">
        <v>4275</v>
      </c>
      <c r="G39" s="100">
        <v>1179932</v>
      </c>
      <c r="H39" s="113">
        <v>0.1799</v>
      </c>
    </row>
    <row r="40" spans="1:8" ht="16.5" customHeight="1" x14ac:dyDescent="0.3">
      <c r="A40" s="107" t="s">
        <v>286</v>
      </c>
      <c r="B40" s="107" t="s">
        <v>278</v>
      </c>
      <c r="C40" s="108" t="s">
        <v>139</v>
      </c>
      <c r="D40" s="109">
        <v>0.56200000000000006</v>
      </c>
      <c r="E40" s="110">
        <v>58997</v>
      </c>
      <c r="F40" s="111">
        <v>33156</v>
      </c>
      <c r="G40" s="111">
        <v>1213088</v>
      </c>
      <c r="H40" s="109">
        <v>0.21310000000000001</v>
      </c>
    </row>
    <row r="41" spans="1:8" ht="16.5" customHeight="1" x14ac:dyDescent="0.3">
      <c r="A41" s="95" t="s">
        <v>316</v>
      </c>
      <c r="B41" s="95" t="s">
        <v>286</v>
      </c>
      <c r="C41" s="96" t="s">
        <v>258</v>
      </c>
      <c r="D41" s="97">
        <v>-5.2600000000000001E-2</v>
      </c>
      <c r="E41" s="98">
        <v>60654</v>
      </c>
      <c r="F41" s="99">
        <v>-3192</v>
      </c>
      <c r="G41" s="100">
        <v>1209896</v>
      </c>
      <c r="H41" s="113">
        <v>0.2099</v>
      </c>
    </row>
    <row r="42" spans="1:8" ht="16.5" customHeight="1" x14ac:dyDescent="0.3">
      <c r="A42" s="107" t="s">
        <v>710</v>
      </c>
      <c r="B42" s="107" t="s">
        <v>316</v>
      </c>
      <c r="C42" s="108" t="s">
        <v>165</v>
      </c>
      <c r="D42" s="109">
        <v>0.4</v>
      </c>
      <c r="E42" s="110">
        <v>60495</v>
      </c>
      <c r="F42" s="111">
        <v>24198</v>
      </c>
      <c r="G42" s="111">
        <v>1234094</v>
      </c>
      <c r="H42" s="109">
        <v>0.2341</v>
      </c>
    </row>
    <row r="43" spans="1:8" ht="16.5" customHeight="1" x14ac:dyDescent="0.3">
      <c r="A43" s="95" t="s">
        <v>711</v>
      </c>
      <c r="B43" s="95" t="s">
        <v>710</v>
      </c>
      <c r="C43" s="96" t="s">
        <v>175</v>
      </c>
      <c r="D43" s="113">
        <v>0.4556</v>
      </c>
      <c r="E43" s="98">
        <v>61705</v>
      </c>
      <c r="F43" s="100">
        <v>28110</v>
      </c>
      <c r="G43" s="100">
        <v>1262203</v>
      </c>
      <c r="H43" s="113">
        <v>0.26219999999999999</v>
      </c>
    </row>
    <row r="44" spans="1:8" ht="16.5" customHeight="1" x14ac:dyDescent="0.3">
      <c r="A44" s="101" t="s">
        <v>328</v>
      </c>
      <c r="B44" s="101" t="s">
        <v>711</v>
      </c>
      <c r="C44" s="102" t="s">
        <v>271</v>
      </c>
      <c r="D44" s="103">
        <v>-5.4899999999999997E-2</v>
      </c>
      <c r="E44" s="104">
        <v>63110</v>
      </c>
      <c r="F44" s="105">
        <v>-3463</v>
      </c>
      <c r="G44" s="106">
        <v>1258740</v>
      </c>
      <c r="H44" s="114">
        <v>0.25869999999999999</v>
      </c>
    </row>
    <row r="45" spans="1:8" ht="16.5" customHeight="1" x14ac:dyDescent="0.3">
      <c r="A45" s="95" t="s">
        <v>343</v>
      </c>
      <c r="B45" s="95" t="s">
        <v>328</v>
      </c>
      <c r="C45" s="96" t="s">
        <v>277</v>
      </c>
      <c r="D45" s="97">
        <v>-3.4099999999999998E-2</v>
      </c>
      <c r="E45" s="98">
        <v>62937</v>
      </c>
      <c r="F45" s="99">
        <v>-2149</v>
      </c>
      <c r="G45" s="100">
        <v>1256591</v>
      </c>
      <c r="H45" s="113">
        <v>0.25659999999999999</v>
      </c>
    </row>
    <row r="46" spans="1:8" ht="16.5" customHeight="1" x14ac:dyDescent="0.3">
      <c r="A46" s="107" t="s">
        <v>712</v>
      </c>
      <c r="B46" s="107" t="s">
        <v>343</v>
      </c>
      <c r="C46" s="108" t="s">
        <v>190</v>
      </c>
      <c r="D46" s="109">
        <v>0.1842</v>
      </c>
      <c r="E46" s="110">
        <v>62830</v>
      </c>
      <c r="F46" s="111">
        <v>11574</v>
      </c>
      <c r="G46" s="111">
        <v>1268165</v>
      </c>
      <c r="H46" s="109">
        <v>0.26819999999999999</v>
      </c>
    </row>
    <row r="47" spans="1:8" ht="16.5" customHeight="1" x14ac:dyDescent="0.3">
      <c r="A47" s="95" t="s">
        <v>377</v>
      </c>
      <c r="B47" s="95" t="s">
        <v>712</v>
      </c>
      <c r="C47" s="96" t="s">
        <v>294</v>
      </c>
      <c r="D47" s="97">
        <v>-1.5900000000000001E-2</v>
      </c>
      <c r="E47" s="98">
        <v>63408</v>
      </c>
      <c r="F47" s="99">
        <v>-1006</v>
      </c>
      <c r="G47" s="100">
        <v>1267158</v>
      </c>
      <c r="H47" s="113">
        <v>0.26719999999999999</v>
      </c>
    </row>
    <row r="48" spans="1:8" ht="16.5" customHeight="1" x14ac:dyDescent="0.3">
      <c r="A48" s="101" t="s">
        <v>713</v>
      </c>
      <c r="B48" s="101" t="s">
        <v>377</v>
      </c>
      <c r="C48" s="102" t="s">
        <v>306</v>
      </c>
      <c r="D48" s="114">
        <v>4.5499999999999999E-2</v>
      </c>
      <c r="E48" s="104">
        <v>63358</v>
      </c>
      <c r="F48" s="106">
        <v>2880</v>
      </c>
      <c r="G48" s="106">
        <v>1270038</v>
      </c>
      <c r="H48" s="114">
        <v>0.27</v>
      </c>
    </row>
    <row r="49" spans="1:8" ht="16.5" customHeight="1" x14ac:dyDescent="0.3">
      <c r="A49" s="95" t="s">
        <v>713</v>
      </c>
      <c r="B49" s="95" t="s">
        <v>713</v>
      </c>
      <c r="C49" s="96" t="s">
        <v>310</v>
      </c>
      <c r="D49" s="97">
        <v>-3.7499999999999999E-2</v>
      </c>
      <c r="E49" s="98">
        <v>63502</v>
      </c>
      <c r="F49" s="99">
        <v>-2381</v>
      </c>
      <c r="G49" s="100">
        <v>1267657</v>
      </c>
      <c r="H49" s="113">
        <v>0.26769999999999999</v>
      </c>
    </row>
    <row r="50" spans="1:8" ht="16.5" customHeight="1" x14ac:dyDescent="0.3">
      <c r="A50" s="101" t="s">
        <v>714</v>
      </c>
      <c r="B50" s="101" t="s">
        <v>713</v>
      </c>
      <c r="C50" s="102" t="s">
        <v>315</v>
      </c>
      <c r="D50" s="103">
        <v>-3.85E-2</v>
      </c>
      <c r="E50" s="104">
        <v>63383</v>
      </c>
      <c r="F50" s="105">
        <v>-2438</v>
      </c>
      <c r="G50" s="106">
        <v>1265219</v>
      </c>
      <c r="H50" s="114">
        <v>0.26519999999999999</v>
      </c>
    </row>
    <row r="51" spans="1:8" ht="16.5" customHeight="1" x14ac:dyDescent="0.3">
      <c r="A51" s="95" t="s">
        <v>714</v>
      </c>
      <c r="B51" s="95" t="s">
        <v>714</v>
      </c>
      <c r="C51" s="96" t="s">
        <v>320</v>
      </c>
      <c r="D51" s="97">
        <v>-3.1E-2</v>
      </c>
      <c r="E51" s="98">
        <v>63261</v>
      </c>
      <c r="F51" s="99">
        <v>-1962</v>
      </c>
      <c r="G51" s="100">
        <v>1263258</v>
      </c>
      <c r="H51" s="113">
        <v>0.26329999999999998</v>
      </c>
    </row>
    <row r="52" spans="1:8" ht="16.5" customHeight="1" x14ac:dyDescent="0.3">
      <c r="A52" s="107" t="s">
        <v>715</v>
      </c>
      <c r="B52" s="107" t="s">
        <v>714</v>
      </c>
      <c r="C52" s="108" t="s">
        <v>263</v>
      </c>
      <c r="D52" s="109">
        <v>0.15</v>
      </c>
      <c r="E52" s="110">
        <v>63163</v>
      </c>
      <c r="F52" s="111">
        <v>9474</v>
      </c>
      <c r="G52" s="111">
        <v>1272732</v>
      </c>
      <c r="H52" s="109">
        <v>0.2727</v>
      </c>
    </row>
    <row r="53" spans="1:8" ht="16.5" customHeight="1" x14ac:dyDescent="0.3">
      <c r="A53" s="95" t="s">
        <v>716</v>
      </c>
      <c r="B53" s="95" t="s">
        <v>715</v>
      </c>
      <c r="C53" s="96" t="s">
        <v>364</v>
      </c>
      <c r="D53" s="97">
        <v>-6.3299999999999995E-2</v>
      </c>
      <c r="E53" s="98">
        <v>63637</v>
      </c>
      <c r="F53" s="99">
        <v>-4028</v>
      </c>
      <c r="G53" s="100">
        <v>1268704</v>
      </c>
      <c r="H53" s="113">
        <v>0.26869999999999999</v>
      </c>
    </row>
    <row r="54" spans="1:8" ht="16.5" customHeight="1" x14ac:dyDescent="0.3">
      <c r="A54" s="101" t="s">
        <v>716</v>
      </c>
      <c r="B54" s="101" t="s">
        <v>716</v>
      </c>
      <c r="C54" s="102" t="s">
        <v>370</v>
      </c>
      <c r="D54" s="103">
        <v>-5.2600000000000001E-2</v>
      </c>
      <c r="E54" s="104">
        <v>63435</v>
      </c>
      <c r="F54" s="105">
        <v>-3339</v>
      </c>
      <c r="G54" s="106">
        <v>1265366</v>
      </c>
      <c r="H54" s="114">
        <v>0.26540000000000002</v>
      </c>
    </row>
    <row r="55" spans="1:8" ht="16.5" customHeight="1" x14ac:dyDescent="0.3">
      <c r="A55" s="95" t="s">
        <v>423</v>
      </c>
      <c r="B55" s="95" t="s">
        <v>716</v>
      </c>
      <c r="C55" s="96" t="s">
        <v>252</v>
      </c>
      <c r="D55" s="113">
        <v>0.21740000000000001</v>
      </c>
      <c r="E55" s="98">
        <v>63268</v>
      </c>
      <c r="F55" s="100">
        <v>13754</v>
      </c>
      <c r="G55" s="100">
        <v>1279120</v>
      </c>
      <c r="H55" s="113">
        <v>0.27910000000000001</v>
      </c>
    </row>
    <row r="56" spans="1:8" ht="16.5" customHeight="1" x14ac:dyDescent="0.3">
      <c r="A56" s="101" t="s">
        <v>482</v>
      </c>
      <c r="B56" s="101" t="s">
        <v>423</v>
      </c>
      <c r="C56" s="102" t="s">
        <v>387</v>
      </c>
      <c r="D56" s="103">
        <v>-0.1071</v>
      </c>
      <c r="E56" s="104">
        <v>63956</v>
      </c>
      <c r="F56" s="105">
        <v>-6852</v>
      </c>
      <c r="G56" s="106">
        <v>1272267</v>
      </c>
      <c r="H56" s="114">
        <v>0.27229999999999999</v>
      </c>
    </row>
    <row r="57" spans="1:8" ht="16.5" customHeight="1" x14ac:dyDescent="0.3">
      <c r="A57" s="95" t="s">
        <v>717</v>
      </c>
      <c r="B57" s="95" t="s">
        <v>482</v>
      </c>
      <c r="C57" s="96" t="s">
        <v>326</v>
      </c>
      <c r="D57" s="113">
        <v>8.1100000000000005E-2</v>
      </c>
      <c r="E57" s="98">
        <v>63613</v>
      </c>
      <c r="F57" s="100">
        <v>5158</v>
      </c>
      <c r="G57" s="100">
        <v>1277425</v>
      </c>
      <c r="H57" s="113">
        <v>0.27739999999999998</v>
      </c>
    </row>
    <row r="58" spans="1:8" ht="16.5" customHeight="1" x14ac:dyDescent="0.3">
      <c r="A58" s="101" t="s">
        <v>718</v>
      </c>
      <c r="B58" s="101" t="s">
        <v>717</v>
      </c>
      <c r="C58" s="102" t="s">
        <v>416</v>
      </c>
      <c r="D58" s="103">
        <v>-3.3300000000000003E-2</v>
      </c>
      <c r="E58" s="104">
        <v>63871</v>
      </c>
      <c r="F58" s="105">
        <v>-2129</v>
      </c>
      <c r="G58" s="106">
        <v>1275296</v>
      </c>
      <c r="H58" s="114">
        <v>0.27529999999999999</v>
      </c>
    </row>
    <row r="59" spans="1:8" ht="16.5" customHeight="1" x14ac:dyDescent="0.3">
      <c r="A59" s="95" t="s">
        <v>509</v>
      </c>
      <c r="B59" s="95" t="s">
        <v>718</v>
      </c>
      <c r="C59" s="96" t="s">
        <v>326</v>
      </c>
      <c r="D59" s="113">
        <v>3.4099999999999998E-2</v>
      </c>
      <c r="E59" s="98">
        <v>63765</v>
      </c>
      <c r="F59" s="100">
        <v>2177</v>
      </c>
      <c r="G59" s="100">
        <v>1277473</v>
      </c>
      <c r="H59" s="113">
        <v>0.27750000000000002</v>
      </c>
    </row>
    <row r="60" spans="1:8" ht="16.5" customHeight="1" x14ac:dyDescent="0.3">
      <c r="A60" s="101" t="s">
        <v>520</v>
      </c>
      <c r="B60" s="101" t="s">
        <v>509</v>
      </c>
      <c r="C60" s="102" t="s">
        <v>145</v>
      </c>
      <c r="D60" s="103">
        <v>-7.0300000000000001E-2</v>
      </c>
      <c r="E60" s="104">
        <v>63874</v>
      </c>
      <c r="F60" s="105">
        <v>-4488</v>
      </c>
      <c r="G60" s="106">
        <v>1272985</v>
      </c>
      <c r="H60" s="114">
        <v>0.27300000000000002</v>
      </c>
    </row>
    <row r="61" spans="1:8" ht="16.5" customHeight="1" x14ac:dyDescent="0.3">
      <c r="A61" s="95" t="s">
        <v>719</v>
      </c>
      <c r="B61" s="95" t="s">
        <v>520</v>
      </c>
      <c r="C61" s="96" t="s">
        <v>395</v>
      </c>
      <c r="D61" s="113">
        <v>0.25</v>
      </c>
      <c r="E61" s="98">
        <v>63649</v>
      </c>
      <c r="F61" s="100">
        <v>15912</v>
      </c>
      <c r="G61" s="100">
        <v>1288897</v>
      </c>
      <c r="H61" s="113">
        <v>0.28889999999999999</v>
      </c>
    </row>
    <row r="62" spans="1:8" ht="16.5" customHeight="1" x14ac:dyDescent="0.3">
      <c r="A62" s="107" t="s">
        <v>720</v>
      </c>
      <c r="B62" s="107" t="s">
        <v>719</v>
      </c>
      <c r="C62" s="108" t="s">
        <v>332</v>
      </c>
      <c r="D62" s="109">
        <v>0.11840000000000001</v>
      </c>
      <c r="E62" s="110">
        <v>64445</v>
      </c>
      <c r="F62" s="111">
        <v>7632</v>
      </c>
      <c r="G62" s="111">
        <v>1296529</v>
      </c>
      <c r="H62" s="109">
        <v>0.29649999999999999</v>
      </c>
    </row>
    <row r="63" spans="1:8" ht="16.5" customHeight="1" x14ac:dyDescent="0.3">
      <c r="A63" s="95" t="s">
        <v>720</v>
      </c>
      <c r="B63" s="95" t="s">
        <v>720</v>
      </c>
      <c r="C63" s="96" t="s">
        <v>337</v>
      </c>
      <c r="D63" s="113">
        <v>9.3799999999999994E-2</v>
      </c>
      <c r="E63" s="98">
        <v>64826</v>
      </c>
      <c r="F63" s="100">
        <v>6077</v>
      </c>
      <c r="G63" s="100">
        <v>1302606</v>
      </c>
      <c r="H63" s="113">
        <v>0.30259999999999998</v>
      </c>
    </row>
    <row r="64" spans="1:8" ht="16.5" customHeight="1" x14ac:dyDescent="0.3">
      <c r="A64" s="107" t="s">
        <v>551</v>
      </c>
      <c r="B64" s="107" t="s">
        <v>720</v>
      </c>
      <c r="C64" s="108" t="s">
        <v>352</v>
      </c>
      <c r="D64" s="109">
        <v>0.2878</v>
      </c>
      <c r="E64" s="110">
        <v>65130</v>
      </c>
      <c r="F64" s="111">
        <v>18745</v>
      </c>
      <c r="G64" s="111">
        <v>1321351</v>
      </c>
      <c r="H64" s="109">
        <v>0.32140000000000002</v>
      </c>
    </row>
    <row r="65" spans="1:8" ht="16.5" customHeight="1" x14ac:dyDescent="0.3">
      <c r="A65" s="95" t="s">
        <v>721</v>
      </c>
      <c r="B65" s="95" t="s">
        <v>551</v>
      </c>
      <c r="C65" s="96" t="s">
        <v>285</v>
      </c>
      <c r="D65" s="113">
        <v>0.37930000000000003</v>
      </c>
      <c r="E65" s="98">
        <v>66068</v>
      </c>
      <c r="F65" s="100">
        <v>25060</v>
      </c>
      <c r="G65" s="100">
        <v>1346411</v>
      </c>
      <c r="H65" s="113">
        <v>0.34639999999999999</v>
      </c>
    </row>
    <row r="66" spans="1:8" ht="16.5" customHeight="1" x14ac:dyDescent="0.3">
      <c r="A66" s="107" t="s">
        <v>721</v>
      </c>
      <c r="B66" s="107" t="s">
        <v>721</v>
      </c>
      <c r="C66" s="108" t="s">
        <v>290</v>
      </c>
      <c r="D66" s="109">
        <v>0.25</v>
      </c>
      <c r="E66" s="110">
        <v>67321</v>
      </c>
      <c r="F66" s="111">
        <v>16830</v>
      </c>
      <c r="G66" s="111">
        <v>1363241</v>
      </c>
      <c r="H66" s="109">
        <v>0.36320000000000002</v>
      </c>
    </row>
    <row r="67" spans="1:8" ht="16.5" customHeight="1" x14ac:dyDescent="0.3">
      <c r="A67" s="95" t="s">
        <v>722</v>
      </c>
      <c r="B67" s="95" t="s">
        <v>721</v>
      </c>
      <c r="C67" s="96" t="s">
        <v>300</v>
      </c>
      <c r="D67" s="113">
        <v>0.1699</v>
      </c>
      <c r="E67" s="98">
        <v>68162</v>
      </c>
      <c r="F67" s="100">
        <v>11578</v>
      </c>
      <c r="G67" s="100">
        <v>1374819</v>
      </c>
      <c r="H67" s="113">
        <v>0.37480000000000002</v>
      </c>
    </row>
    <row r="68" spans="1:8" ht="16.5" customHeight="1" x14ac:dyDescent="0.3">
      <c r="A68" s="107" t="s">
        <v>590</v>
      </c>
      <c r="B68" s="107" t="s">
        <v>722</v>
      </c>
      <c r="C68" s="108" t="s">
        <v>455</v>
      </c>
      <c r="D68" s="109">
        <v>0.16309999999999999</v>
      </c>
      <c r="E68" s="110">
        <v>68741</v>
      </c>
      <c r="F68" s="111">
        <v>11210</v>
      </c>
      <c r="G68" s="111">
        <v>1386029</v>
      </c>
      <c r="H68" s="109">
        <v>0.38600000000000001</v>
      </c>
    </row>
    <row r="69" spans="1:8" ht="16.5" customHeight="1" x14ac:dyDescent="0.3">
      <c r="A69" s="95" t="s">
        <v>590</v>
      </c>
      <c r="B69" s="95" t="s">
        <v>590</v>
      </c>
      <c r="C69" s="96" t="s">
        <v>460</v>
      </c>
      <c r="D69" s="113">
        <v>0.15609999999999999</v>
      </c>
      <c r="E69" s="98">
        <v>69301</v>
      </c>
      <c r="F69" s="100">
        <v>10816</v>
      </c>
      <c r="G69" s="100">
        <v>1396845</v>
      </c>
      <c r="H69" s="113">
        <v>0.39679999999999999</v>
      </c>
    </row>
    <row r="70" spans="1:8" ht="16.5" customHeight="1" x14ac:dyDescent="0.3">
      <c r="A70" s="107" t="s">
        <v>595</v>
      </c>
      <c r="B70" s="107" t="s">
        <v>590</v>
      </c>
      <c r="C70" s="108" t="s">
        <v>480</v>
      </c>
      <c r="D70" s="109">
        <v>0.15110000000000001</v>
      </c>
      <c r="E70" s="110">
        <v>69842</v>
      </c>
      <c r="F70" s="111">
        <v>10552</v>
      </c>
      <c r="G70" s="111">
        <v>1407396</v>
      </c>
      <c r="H70" s="109">
        <v>0.40739999999999998</v>
      </c>
    </row>
    <row r="71" spans="1:8" ht="16.5" customHeight="1" x14ac:dyDescent="0.3">
      <c r="A71" s="95" t="s">
        <v>723</v>
      </c>
      <c r="B71" s="95" t="s">
        <v>595</v>
      </c>
      <c r="C71" s="96" t="s">
        <v>341</v>
      </c>
      <c r="D71" s="113">
        <v>0.33329999999999999</v>
      </c>
      <c r="E71" s="98">
        <v>70370</v>
      </c>
      <c r="F71" s="100">
        <v>23457</v>
      </c>
      <c r="G71" s="100">
        <v>1430853</v>
      </c>
      <c r="H71" s="113">
        <v>0.43090000000000001</v>
      </c>
    </row>
    <row r="72" spans="1:8" ht="16.5" customHeight="1" x14ac:dyDescent="0.3">
      <c r="A72" s="107" t="s">
        <v>723</v>
      </c>
      <c r="B72" s="107" t="s">
        <v>723</v>
      </c>
      <c r="C72" s="108" t="s">
        <v>348</v>
      </c>
      <c r="D72" s="109">
        <v>6.2100000000000002E-2</v>
      </c>
      <c r="E72" s="110">
        <v>71543</v>
      </c>
      <c r="F72" s="111">
        <v>4441</v>
      </c>
      <c r="G72" s="111">
        <v>1435294</v>
      </c>
      <c r="H72" s="109">
        <v>0.43530000000000002</v>
      </c>
    </row>
    <row r="73" spans="1:8" ht="16.5" customHeight="1" x14ac:dyDescent="0.3">
      <c r="A73" s="95" t="s">
        <v>723</v>
      </c>
      <c r="B73" s="95" t="s">
        <v>723</v>
      </c>
      <c r="C73" s="96" t="s">
        <v>357</v>
      </c>
      <c r="D73" s="113">
        <v>0.22600000000000001</v>
      </c>
      <c r="E73" s="98">
        <v>71765</v>
      </c>
      <c r="F73" s="100">
        <v>16221</v>
      </c>
      <c r="G73" s="100">
        <v>1451514</v>
      </c>
      <c r="H73" s="113">
        <v>0.45150000000000001</v>
      </c>
    </row>
    <row r="74" spans="1:8" ht="16.5" customHeight="1" x14ac:dyDescent="0.3">
      <c r="A74" s="107" t="s">
        <v>723</v>
      </c>
      <c r="B74" s="107" t="s">
        <v>723</v>
      </c>
      <c r="C74" s="108" t="s">
        <v>360</v>
      </c>
      <c r="D74" s="109">
        <v>0.2903</v>
      </c>
      <c r="E74" s="110">
        <v>72576</v>
      </c>
      <c r="F74" s="111">
        <v>21070</v>
      </c>
      <c r="G74" s="111">
        <v>1472585</v>
      </c>
      <c r="H74" s="109">
        <v>0.47260000000000002</v>
      </c>
    </row>
    <row r="75" spans="1:8" ht="16.5" customHeight="1" x14ac:dyDescent="0.3">
      <c r="A75" s="95" t="s">
        <v>621</v>
      </c>
      <c r="B75" s="95" t="s">
        <v>723</v>
      </c>
      <c r="C75" s="96" t="s">
        <v>508</v>
      </c>
      <c r="D75" s="113">
        <v>5.2600000000000001E-2</v>
      </c>
      <c r="E75" s="98">
        <v>73629</v>
      </c>
      <c r="F75" s="100">
        <v>3875</v>
      </c>
      <c r="G75" s="100">
        <v>1476460</v>
      </c>
      <c r="H75" s="113">
        <v>0.47649999999999998</v>
      </c>
    </row>
    <row r="76" spans="1:8" ht="16.5" customHeight="1" x14ac:dyDescent="0.3">
      <c r="A76" s="107" t="s">
        <v>625</v>
      </c>
      <c r="B76" s="107" t="s">
        <v>621</v>
      </c>
      <c r="C76" s="108" t="s">
        <v>513</v>
      </c>
      <c r="D76" s="109">
        <v>0.3</v>
      </c>
      <c r="E76" s="110">
        <v>73823</v>
      </c>
      <c r="F76" s="111">
        <v>22147</v>
      </c>
      <c r="G76" s="111">
        <v>1498607</v>
      </c>
      <c r="H76" s="109">
        <v>0.49859999999999999</v>
      </c>
    </row>
    <row r="77" spans="1:8" ht="16.5" customHeight="1" x14ac:dyDescent="0.3">
      <c r="A77" s="95" t="s">
        <v>638</v>
      </c>
      <c r="B77" s="95" t="s">
        <v>625</v>
      </c>
      <c r="C77" s="96" t="s">
        <v>435</v>
      </c>
      <c r="D77" s="113">
        <v>7.1900000000000006E-2</v>
      </c>
      <c r="E77" s="98">
        <v>74930</v>
      </c>
      <c r="F77" s="100">
        <v>5387</v>
      </c>
      <c r="G77" s="100">
        <v>1503994</v>
      </c>
      <c r="H77" s="113">
        <v>0.504</v>
      </c>
    </row>
    <row r="78" spans="1:8" ht="16.5" customHeight="1" x14ac:dyDescent="0.3">
      <c r="A78" s="107" t="s">
        <v>638</v>
      </c>
      <c r="B78" s="107" t="s">
        <v>638</v>
      </c>
      <c r="C78" s="108" t="s">
        <v>441</v>
      </c>
      <c r="D78" s="109">
        <v>0.1</v>
      </c>
      <c r="E78" s="110">
        <v>75200</v>
      </c>
      <c r="F78" s="111">
        <v>7520</v>
      </c>
      <c r="G78" s="111">
        <v>1511514</v>
      </c>
      <c r="H78" s="109">
        <v>0.51149999999999995</v>
      </c>
    </row>
    <row r="79" spans="1:8" ht="16.5" customHeight="1" x14ac:dyDescent="0.3">
      <c r="A79" s="95" t="s">
        <v>724</v>
      </c>
      <c r="B79" s="95" t="s">
        <v>638</v>
      </c>
      <c r="C79" s="96" t="s">
        <v>337</v>
      </c>
      <c r="D79" s="113">
        <v>0.17349999999999999</v>
      </c>
      <c r="E79" s="98">
        <v>75576</v>
      </c>
      <c r="F79" s="100">
        <v>13110</v>
      </c>
      <c r="G79" s="100">
        <v>1524624</v>
      </c>
      <c r="H79" s="113">
        <v>0.52459999999999996</v>
      </c>
    </row>
    <row r="80" spans="1:8" ht="16.5" customHeight="1" x14ac:dyDescent="0.3">
      <c r="A80" s="107" t="s">
        <v>724</v>
      </c>
      <c r="B80" s="107" t="s">
        <v>724</v>
      </c>
      <c r="C80" s="108" t="s">
        <v>383</v>
      </c>
      <c r="D80" s="109">
        <v>0.20630000000000001</v>
      </c>
      <c r="E80" s="110">
        <v>76231</v>
      </c>
      <c r="F80" s="111">
        <v>15730</v>
      </c>
      <c r="G80" s="111">
        <v>1540354</v>
      </c>
      <c r="H80" s="109">
        <v>0.54039999999999999</v>
      </c>
    </row>
    <row r="81" spans="1:8" ht="16.5" customHeight="1" x14ac:dyDescent="0.3">
      <c r="A81" s="95" t="s">
        <v>640</v>
      </c>
      <c r="B81" s="95" t="s">
        <v>724</v>
      </c>
      <c r="C81" s="96" t="s">
        <v>486</v>
      </c>
      <c r="D81" s="113">
        <v>0.1149</v>
      </c>
      <c r="E81" s="98">
        <v>77018</v>
      </c>
      <c r="F81" s="100">
        <v>8847</v>
      </c>
      <c r="G81" s="100">
        <v>1549201</v>
      </c>
      <c r="H81" s="113">
        <v>0.54920000000000002</v>
      </c>
    </row>
    <row r="82" spans="1:8" ht="16.5" customHeight="1" x14ac:dyDescent="0.3">
      <c r="A82" s="107" t="s">
        <v>725</v>
      </c>
      <c r="B82" s="107" t="s">
        <v>640</v>
      </c>
      <c r="C82" s="108" t="s">
        <v>401</v>
      </c>
      <c r="D82" s="109">
        <v>0.49120000000000003</v>
      </c>
      <c r="E82" s="110">
        <v>77460</v>
      </c>
      <c r="F82" s="111">
        <v>38051</v>
      </c>
      <c r="G82" s="111">
        <v>1587251</v>
      </c>
      <c r="H82" s="109">
        <v>0.58730000000000004</v>
      </c>
    </row>
    <row r="83" spans="1:8" ht="16.5" customHeight="1" x14ac:dyDescent="0.3">
      <c r="A83" s="95" t="s">
        <v>726</v>
      </c>
      <c r="B83" s="95" t="s">
        <v>725</v>
      </c>
      <c r="C83" s="96" t="s">
        <v>407</v>
      </c>
      <c r="D83" s="113">
        <v>9.5600000000000004E-2</v>
      </c>
      <c r="E83" s="98">
        <v>79363</v>
      </c>
      <c r="F83" s="100">
        <v>7588</v>
      </c>
      <c r="G83" s="100">
        <v>1594840</v>
      </c>
      <c r="H83" s="113">
        <v>0.5948</v>
      </c>
    </row>
    <row r="84" spans="1:8" ht="16.5" customHeight="1" x14ac:dyDescent="0.3">
      <c r="A84" s="107" t="s">
        <v>726</v>
      </c>
      <c r="B84" s="107" t="s">
        <v>726</v>
      </c>
      <c r="C84" s="108" t="s">
        <v>532</v>
      </c>
      <c r="D84" s="109">
        <v>5.11E-2</v>
      </c>
      <c r="E84" s="110">
        <v>79742</v>
      </c>
      <c r="F84" s="111">
        <v>4071</v>
      </c>
      <c r="G84" s="111">
        <v>1598911</v>
      </c>
      <c r="H84" s="109">
        <v>0.59889999999999999</v>
      </c>
    </row>
    <row r="85" spans="1:8" ht="16.5" customHeight="1" x14ac:dyDescent="0.3">
      <c r="A85" s="95" t="s">
        <v>727</v>
      </c>
      <c r="B85" s="95" t="s">
        <v>726</v>
      </c>
      <c r="C85" s="96" t="s">
        <v>542</v>
      </c>
      <c r="D85" s="113">
        <v>0.33329999999999999</v>
      </c>
      <c r="E85" s="98">
        <v>79946</v>
      </c>
      <c r="F85" s="100">
        <v>26648</v>
      </c>
      <c r="G85" s="100">
        <v>1625559</v>
      </c>
      <c r="H85" s="113">
        <v>0.62560000000000004</v>
      </c>
    </row>
    <row r="86" spans="1:8" ht="16.5" customHeight="1" x14ac:dyDescent="0.3">
      <c r="A86" s="107" t="s">
        <v>646</v>
      </c>
      <c r="B86" s="107" t="s">
        <v>727</v>
      </c>
      <c r="C86" s="108" t="s">
        <v>518</v>
      </c>
      <c r="D86" s="109">
        <v>0.1628</v>
      </c>
      <c r="E86" s="110">
        <v>81278</v>
      </c>
      <c r="F86" s="111">
        <v>13231</v>
      </c>
      <c r="G86" s="111">
        <v>1638790</v>
      </c>
      <c r="H86" s="109">
        <v>0.63880000000000003</v>
      </c>
    </row>
    <row r="87" spans="1:8" ht="16.5" customHeight="1" x14ac:dyDescent="0.3">
      <c r="A87" s="95" t="s">
        <v>728</v>
      </c>
      <c r="B87" s="95" t="s">
        <v>646</v>
      </c>
      <c r="C87" s="96" t="s">
        <v>421</v>
      </c>
      <c r="D87" s="113">
        <v>1.6531</v>
      </c>
      <c r="E87" s="98">
        <v>81940</v>
      </c>
      <c r="F87" s="100">
        <v>135451</v>
      </c>
      <c r="G87" s="100">
        <v>1774241</v>
      </c>
      <c r="H87" s="113">
        <v>0.7742</v>
      </c>
    </row>
    <row r="88" spans="1:8" ht="16.5" customHeight="1" x14ac:dyDescent="0.3">
      <c r="A88" s="107" t="s">
        <v>729</v>
      </c>
      <c r="B88" s="107" t="s">
        <v>728</v>
      </c>
      <c r="C88" s="108" t="s">
        <v>561</v>
      </c>
      <c r="D88" s="109">
        <v>0.16669999999999999</v>
      </c>
      <c r="E88" s="110">
        <v>88712</v>
      </c>
      <c r="F88" s="111">
        <v>14785</v>
      </c>
      <c r="G88" s="111">
        <v>1789027</v>
      </c>
      <c r="H88" s="109">
        <v>0.78900000000000003</v>
      </c>
    </row>
    <row r="89" spans="1:8" ht="16.5" customHeight="1" x14ac:dyDescent="0.3">
      <c r="A89" s="95" t="s">
        <v>730</v>
      </c>
      <c r="B89" s="95" t="s">
        <v>729</v>
      </c>
      <c r="C89" s="96" t="s">
        <v>429</v>
      </c>
      <c r="D89" s="113">
        <v>8.8300000000000003E-2</v>
      </c>
      <c r="E89" s="98">
        <v>89451</v>
      </c>
      <c r="F89" s="100">
        <v>7901</v>
      </c>
      <c r="G89" s="100">
        <v>1796928</v>
      </c>
      <c r="H89" s="113">
        <v>0.79690000000000005</v>
      </c>
    </row>
    <row r="90" spans="1:8" ht="16.5" customHeight="1" x14ac:dyDescent="0.3">
      <c r="A90" s="107" t="s">
        <v>731</v>
      </c>
      <c r="B90" s="107" t="s">
        <v>730</v>
      </c>
      <c r="C90" s="108" t="s">
        <v>573</v>
      </c>
      <c r="D90" s="109">
        <v>0.15</v>
      </c>
      <c r="E90" s="110">
        <v>89846</v>
      </c>
      <c r="F90" s="111">
        <v>13477</v>
      </c>
      <c r="G90" s="111">
        <v>1810405</v>
      </c>
      <c r="H90" s="109">
        <v>0.81040000000000001</v>
      </c>
    </row>
    <row r="91" spans="1:8" ht="16.5" customHeight="1" x14ac:dyDescent="0.3">
      <c r="A91" s="95" t="s">
        <v>732</v>
      </c>
      <c r="B91" s="95" t="s">
        <v>731</v>
      </c>
      <c r="C91" s="96" t="s">
        <v>580</v>
      </c>
      <c r="D91" s="113">
        <v>0.13919999999999999</v>
      </c>
      <c r="E91" s="98">
        <v>90520</v>
      </c>
      <c r="F91" s="100">
        <v>12604</v>
      </c>
      <c r="G91" s="100">
        <v>1823009</v>
      </c>
      <c r="H91" s="113">
        <v>0.82299999999999995</v>
      </c>
    </row>
    <row r="92" spans="1:8" ht="16.5" customHeight="1" x14ac:dyDescent="0.3">
      <c r="A92" s="107" t="s">
        <v>732</v>
      </c>
      <c r="B92" s="107" t="s">
        <v>732</v>
      </c>
      <c r="C92" s="108" t="s">
        <v>444</v>
      </c>
      <c r="D92" s="109">
        <v>0.10390000000000001</v>
      </c>
      <c r="E92" s="110">
        <v>91150</v>
      </c>
      <c r="F92" s="111">
        <v>9470</v>
      </c>
      <c r="G92" s="111">
        <v>1832479</v>
      </c>
      <c r="H92" s="109">
        <v>0.83250000000000002</v>
      </c>
    </row>
    <row r="93" spans="1:8" ht="16.5" customHeight="1" x14ac:dyDescent="0.3">
      <c r="A93" s="95" t="s">
        <v>733</v>
      </c>
      <c r="B93" s="95" t="s">
        <v>732</v>
      </c>
      <c r="C93" s="96" t="s">
        <v>588</v>
      </c>
      <c r="D93" s="113">
        <v>0.1111</v>
      </c>
      <c r="E93" s="98">
        <v>91624</v>
      </c>
      <c r="F93" s="100">
        <v>10180</v>
      </c>
      <c r="G93" s="100">
        <v>1842660</v>
      </c>
      <c r="H93" s="113">
        <v>0.8427</v>
      </c>
    </row>
    <row r="94" spans="1:8" ht="16.5" customHeight="1" x14ac:dyDescent="0.3">
      <c r="A94" s="107" t="s">
        <v>733</v>
      </c>
      <c r="B94" s="107" t="s">
        <v>733</v>
      </c>
      <c r="C94" s="108" t="s">
        <v>449</v>
      </c>
      <c r="D94" s="109">
        <v>0.78790000000000004</v>
      </c>
      <c r="E94" s="110">
        <v>92133</v>
      </c>
      <c r="F94" s="111">
        <v>72590</v>
      </c>
      <c r="G94" s="111">
        <v>1915249</v>
      </c>
      <c r="H94" s="109">
        <v>0.91520000000000001</v>
      </c>
    </row>
    <row r="95" spans="1:8" ht="16.5" customHeight="1" x14ac:dyDescent="0.3">
      <c r="A95" s="95" t="s">
        <v>733</v>
      </c>
      <c r="B95" s="95" t="s">
        <v>733</v>
      </c>
      <c r="C95" s="96" t="s">
        <v>464</v>
      </c>
      <c r="D95" s="113">
        <v>0.21709999999999999</v>
      </c>
      <c r="E95" s="98">
        <v>95762</v>
      </c>
      <c r="F95" s="100">
        <v>20794</v>
      </c>
      <c r="G95" s="100">
        <v>1936043</v>
      </c>
      <c r="H95" s="113">
        <v>0.93600000000000005</v>
      </c>
    </row>
    <row r="96" spans="1:8" ht="16.5" customHeight="1" x14ac:dyDescent="0.3">
      <c r="A96" s="107" t="s">
        <v>733</v>
      </c>
      <c r="B96" s="107" t="s">
        <v>733</v>
      </c>
      <c r="C96" s="108" t="s">
        <v>468</v>
      </c>
      <c r="D96" s="109">
        <v>0.32629999999999998</v>
      </c>
      <c r="E96" s="110">
        <v>96802</v>
      </c>
      <c r="F96" s="111">
        <v>31583</v>
      </c>
      <c r="G96" s="111">
        <v>1967626</v>
      </c>
      <c r="H96" s="109">
        <v>0.96760000000000002</v>
      </c>
    </row>
    <row r="97" spans="1:8" ht="16.5" customHeight="1" x14ac:dyDescent="0.3">
      <c r="A97" s="95" t="s">
        <v>733</v>
      </c>
      <c r="B97" s="95" t="s">
        <v>733</v>
      </c>
      <c r="C97" s="96" t="s">
        <v>472</v>
      </c>
      <c r="D97" s="113">
        <v>0.188</v>
      </c>
      <c r="E97" s="98">
        <v>98381</v>
      </c>
      <c r="F97" s="100">
        <v>18493</v>
      </c>
      <c r="G97" s="100">
        <v>1986119</v>
      </c>
      <c r="H97" s="113">
        <v>0.98609999999999998</v>
      </c>
    </row>
    <row r="98" spans="1:8" ht="16.5" customHeight="1" x14ac:dyDescent="0.3">
      <c r="A98" s="107" t="s">
        <v>734</v>
      </c>
      <c r="B98" s="107" t="s">
        <v>733</v>
      </c>
      <c r="C98" s="108" t="s">
        <v>593</v>
      </c>
      <c r="D98" s="109">
        <v>0.25</v>
      </c>
      <c r="E98" s="110">
        <v>99306</v>
      </c>
      <c r="F98" s="111">
        <v>24826</v>
      </c>
      <c r="G98" s="111">
        <v>2010946</v>
      </c>
      <c r="H98" s="109">
        <v>1.0108999999999999</v>
      </c>
    </row>
    <row r="99" spans="1:8" ht="16.5" customHeight="1" x14ac:dyDescent="0.3">
      <c r="A99" s="95" t="s">
        <v>734</v>
      </c>
      <c r="B99" s="95" t="s">
        <v>734</v>
      </c>
      <c r="C99" s="96" t="s">
        <v>598</v>
      </c>
      <c r="D99" s="113">
        <v>0.14580000000000001</v>
      </c>
      <c r="E99" s="98">
        <v>100547</v>
      </c>
      <c r="F99" s="100">
        <v>14663</v>
      </c>
      <c r="G99" s="100">
        <v>2025609</v>
      </c>
      <c r="H99" s="113">
        <v>1.0256000000000001</v>
      </c>
    </row>
    <row r="100" spans="1:8" ht="16.5" customHeight="1" x14ac:dyDescent="0.3">
      <c r="A100" s="107" t="s">
        <v>734</v>
      </c>
      <c r="B100" s="107" t="s">
        <v>734</v>
      </c>
      <c r="C100" s="108" t="s">
        <v>602</v>
      </c>
      <c r="D100" s="109">
        <v>0.25</v>
      </c>
      <c r="E100" s="110">
        <v>101280</v>
      </c>
      <c r="F100" s="111">
        <v>25320</v>
      </c>
      <c r="G100" s="111">
        <v>2050929</v>
      </c>
      <c r="H100" s="109">
        <v>1.0508999999999999</v>
      </c>
    </row>
    <row r="101" spans="1:8" ht="16.5" customHeight="1" x14ac:dyDescent="0.3">
      <c r="A101" s="95" t="s">
        <v>735</v>
      </c>
      <c r="B101" s="95" t="s">
        <v>734</v>
      </c>
      <c r="C101" s="96" t="s">
        <v>495</v>
      </c>
      <c r="D101" s="113">
        <v>0.2069</v>
      </c>
      <c r="E101" s="98">
        <v>102546</v>
      </c>
      <c r="F101" s="100">
        <v>21217</v>
      </c>
      <c r="G101" s="100">
        <v>2072145</v>
      </c>
      <c r="H101" s="113">
        <v>1.0721000000000001</v>
      </c>
    </row>
    <row r="102" spans="1:8" ht="16.5" customHeight="1" x14ac:dyDescent="0.3">
      <c r="A102" s="107" t="s">
        <v>736</v>
      </c>
      <c r="B102" s="107" t="s">
        <v>735</v>
      </c>
      <c r="C102" s="108" t="s">
        <v>549</v>
      </c>
      <c r="D102" s="109">
        <v>0.375</v>
      </c>
      <c r="E102" s="110">
        <v>103607</v>
      </c>
      <c r="F102" s="111">
        <v>38853</v>
      </c>
      <c r="G102" s="111">
        <v>2110998</v>
      </c>
      <c r="H102" s="109">
        <v>1.111</v>
      </c>
    </row>
    <row r="103" spans="1:8" ht="16.5" customHeight="1" x14ac:dyDescent="0.3">
      <c r="A103" s="95" t="s">
        <v>737</v>
      </c>
      <c r="B103" s="95" t="s">
        <v>736</v>
      </c>
      <c r="C103" s="96" t="s">
        <v>610</v>
      </c>
      <c r="D103" s="113">
        <v>0.17649999999999999</v>
      </c>
      <c r="E103" s="98">
        <v>105550</v>
      </c>
      <c r="F103" s="100">
        <v>18626</v>
      </c>
      <c r="G103" s="100">
        <v>2129625</v>
      </c>
      <c r="H103" s="113">
        <v>1.1295999999999999</v>
      </c>
    </row>
    <row r="104" spans="1:8" ht="16.5" customHeight="1" x14ac:dyDescent="0.3">
      <c r="A104" s="107" t="s">
        <v>737</v>
      </c>
      <c r="B104" s="107" t="s">
        <v>737</v>
      </c>
      <c r="C104" s="108" t="s">
        <v>501</v>
      </c>
      <c r="D104" s="109">
        <v>0.1026</v>
      </c>
      <c r="E104" s="110">
        <v>106481</v>
      </c>
      <c r="F104" s="111">
        <v>10921</v>
      </c>
      <c r="G104" s="111">
        <v>2140546</v>
      </c>
      <c r="H104" s="109">
        <v>1.1405000000000001</v>
      </c>
    </row>
    <row r="105" spans="1:8" ht="16.5" customHeight="1" x14ac:dyDescent="0.3">
      <c r="A105" s="95" t="s">
        <v>737</v>
      </c>
      <c r="B105" s="95" t="s">
        <v>737</v>
      </c>
      <c r="C105" s="96" t="s">
        <v>139</v>
      </c>
      <c r="D105" s="113">
        <v>0.1583</v>
      </c>
      <c r="E105" s="98">
        <v>107027</v>
      </c>
      <c r="F105" s="100">
        <v>16943</v>
      </c>
      <c r="G105" s="100">
        <v>2157488</v>
      </c>
      <c r="H105" s="113">
        <v>1.1575</v>
      </c>
    </row>
    <row r="106" spans="1:8" ht="16.5" customHeight="1" x14ac:dyDescent="0.3">
      <c r="A106" s="107" t="s">
        <v>738</v>
      </c>
      <c r="B106" s="107" t="s">
        <v>737</v>
      </c>
      <c r="C106" s="108" t="s">
        <v>566</v>
      </c>
      <c r="D106" s="109">
        <v>0.3</v>
      </c>
      <c r="E106" s="110">
        <v>107874</v>
      </c>
      <c r="F106" s="111">
        <v>32362</v>
      </c>
      <c r="G106" s="111">
        <v>2189851</v>
      </c>
      <c r="H106" s="109">
        <v>1.1899</v>
      </c>
    </row>
    <row r="107" spans="1:8" ht="16.5" customHeight="1" x14ac:dyDescent="0.3">
      <c r="A107" s="95" t="s">
        <v>738</v>
      </c>
      <c r="B107" s="95" t="s">
        <v>738</v>
      </c>
      <c r="C107" s="96" t="s">
        <v>619</v>
      </c>
      <c r="D107" s="113">
        <v>0.2</v>
      </c>
      <c r="E107" s="98">
        <v>109493</v>
      </c>
      <c r="F107" s="100">
        <v>21899</v>
      </c>
      <c r="G107" s="100">
        <v>2211749</v>
      </c>
      <c r="H107" s="113">
        <v>1.2117</v>
      </c>
    </row>
    <row r="108" spans="1:8" ht="16.5" customHeight="1" x14ac:dyDescent="0.3">
      <c r="A108" s="107" t="s">
        <v>739</v>
      </c>
      <c r="B108" s="107" t="s">
        <v>738</v>
      </c>
      <c r="C108" s="108" t="s">
        <v>623</v>
      </c>
      <c r="D108" s="109">
        <v>0.15790000000000001</v>
      </c>
      <c r="E108" s="110">
        <v>110587</v>
      </c>
      <c r="F108" s="111">
        <v>17461</v>
      </c>
      <c r="G108" s="111">
        <v>2229210</v>
      </c>
      <c r="H108" s="109">
        <v>1.2292000000000001</v>
      </c>
    </row>
    <row r="109" spans="1:8" ht="16.5" customHeight="1" x14ac:dyDescent="0.3">
      <c r="A109" s="95" t="s">
        <v>740</v>
      </c>
      <c r="B109" s="95" t="s">
        <v>739</v>
      </c>
      <c r="C109" s="96" t="s">
        <v>580</v>
      </c>
      <c r="D109" s="113">
        <v>8.43E-2</v>
      </c>
      <c r="E109" s="98">
        <v>111461</v>
      </c>
      <c r="F109" s="100">
        <v>9400</v>
      </c>
      <c r="G109" s="100">
        <v>2238611</v>
      </c>
      <c r="H109" s="113">
        <v>1.2385999999999999</v>
      </c>
    </row>
    <row r="110" spans="1:8" ht="16.5" customHeight="1" x14ac:dyDescent="0.3">
      <c r="A110" s="107" t="s">
        <v>741</v>
      </c>
      <c r="B110" s="107" t="s">
        <v>740</v>
      </c>
      <c r="C110" s="108" t="s">
        <v>518</v>
      </c>
      <c r="D110" s="109">
        <v>0.15210000000000001</v>
      </c>
      <c r="E110" s="110">
        <v>111931</v>
      </c>
      <c r="F110" s="111">
        <v>17022</v>
      </c>
      <c r="G110" s="111">
        <v>2255632</v>
      </c>
      <c r="H110" s="109">
        <v>1.2556</v>
      </c>
    </row>
    <row r="111" spans="1:8" ht="16.5" customHeight="1" x14ac:dyDescent="0.3">
      <c r="A111" s="95" t="s">
        <v>741</v>
      </c>
      <c r="B111" s="95" t="s">
        <v>741</v>
      </c>
      <c r="C111" s="96" t="s">
        <v>523</v>
      </c>
      <c r="D111" s="113">
        <v>0.1724</v>
      </c>
      <c r="E111" s="98">
        <v>112782</v>
      </c>
      <c r="F111" s="100">
        <v>19445</v>
      </c>
      <c r="G111" s="100">
        <v>2275077</v>
      </c>
      <c r="H111" s="113">
        <v>1.2750999999999999</v>
      </c>
    </row>
    <row r="112" spans="1:8" ht="16.5" customHeight="1" x14ac:dyDescent="0.3">
      <c r="A112" s="107" t="s">
        <v>741</v>
      </c>
      <c r="B112" s="107" t="s">
        <v>741</v>
      </c>
      <c r="C112" s="108" t="s">
        <v>528</v>
      </c>
      <c r="D112" s="109">
        <v>0.73909999999999998</v>
      </c>
      <c r="E112" s="110">
        <v>113754</v>
      </c>
      <c r="F112" s="111">
        <v>84079</v>
      </c>
      <c r="G112" s="111">
        <v>2359156</v>
      </c>
      <c r="H112" s="109">
        <v>1.3592</v>
      </c>
    </row>
    <row r="113" spans="1:8" ht="16.5" customHeight="1" x14ac:dyDescent="0.3">
      <c r="A113" s="95" t="s">
        <v>742</v>
      </c>
      <c r="B113" s="95" t="s">
        <v>741</v>
      </c>
      <c r="C113" s="96" t="s">
        <v>605</v>
      </c>
      <c r="D113" s="113">
        <v>0.1321</v>
      </c>
      <c r="E113" s="98">
        <v>117958</v>
      </c>
      <c r="F113" s="100">
        <v>15579</v>
      </c>
      <c r="G113" s="100">
        <v>2374736</v>
      </c>
      <c r="H113" s="113">
        <v>1.3747</v>
      </c>
    </row>
    <row r="114" spans="1:8" ht="16.5" customHeight="1" x14ac:dyDescent="0.3">
      <c r="A114" s="107" t="s">
        <v>743</v>
      </c>
      <c r="B114" s="107" t="s">
        <v>742</v>
      </c>
      <c r="C114" s="108" t="s">
        <v>23</v>
      </c>
      <c r="D114" s="109">
        <v>0.10340000000000001</v>
      </c>
      <c r="E114" s="110">
        <v>118737</v>
      </c>
      <c r="F114" s="111">
        <v>12283</v>
      </c>
      <c r="G114" s="111">
        <v>2387019</v>
      </c>
      <c r="H114" s="109">
        <v>1.387</v>
      </c>
    </row>
    <row r="115" spans="1:8" ht="16.5" customHeight="1" x14ac:dyDescent="0.3">
      <c r="A115" s="95" t="s">
        <v>744</v>
      </c>
      <c r="B115" s="95" t="s">
        <v>743</v>
      </c>
      <c r="C115" s="96" t="s">
        <v>537</v>
      </c>
      <c r="D115" s="113">
        <v>0.21210000000000001</v>
      </c>
      <c r="E115" s="98">
        <v>119351</v>
      </c>
      <c r="F115" s="100">
        <v>25317</v>
      </c>
      <c r="G115" s="100">
        <v>2412336</v>
      </c>
      <c r="H115" s="113">
        <v>1.4123000000000001</v>
      </c>
    </row>
    <row r="116" spans="1:8" ht="16.5" customHeight="1" x14ac:dyDescent="0.3">
      <c r="A116" s="107" t="s">
        <v>745</v>
      </c>
      <c r="B116" s="107" t="s">
        <v>744</v>
      </c>
      <c r="C116" s="108" t="s">
        <v>636</v>
      </c>
      <c r="D116" s="109">
        <v>0.1176</v>
      </c>
      <c r="E116" s="110">
        <v>120617</v>
      </c>
      <c r="F116" s="111">
        <v>14190</v>
      </c>
      <c r="G116" s="111">
        <v>2426526</v>
      </c>
      <c r="H116" s="109">
        <v>1.4265000000000001</v>
      </c>
    </row>
    <row r="117" spans="1:8" ht="16.5" customHeight="1" x14ac:dyDescent="0.3">
      <c r="A117" s="95" t="s">
        <v>746</v>
      </c>
      <c r="B117" s="95" t="s">
        <v>745</v>
      </c>
      <c r="C117" s="96" t="s">
        <v>644</v>
      </c>
      <c r="D117" s="113">
        <v>1.1429</v>
      </c>
      <c r="E117" s="98">
        <v>121326</v>
      </c>
      <c r="F117" s="100">
        <v>138659</v>
      </c>
      <c r="G117" s="100">
        <v>2565184</v>
      </c>
      <c r="H117" s="113">
        <v>1.5651999999999999</v>
      </c>
    </row>
    <row r="120" spans="1:8" x14ac:dyDescent="0.3">
      <c r="A120" s="115" t="s">
        <v>747</v>
      </c>
      <c r="B120" s="116" t="s">
        <v>748</v>
      </c>
      <c r="C120" s="117" t="s">
        <v>749</v>
      </c>
    </row>
    <row r="121" spans="1:8" x14ac:dyDescent="0.3">
      <c r="A121" t="s">
        <v>750</v>
      </c>
      <c r="B121">
        <v>1000000</v>
      </c>
      <c r="C121">
        <v>1000000</v>
      </c>
    </row>
    <row r="122" spans="1:8" x14ac:dyDescent="0.3">
      <c r="A122" t="s">
        <v>751</v>
      </c>
      <c r="B122">
        <v>997323</v>
      </c>
      <c r="C122">
        <v>963483</v>
      </c>
    </row>
    <row r="123" spans="1:8" x14ac:dyDescent="0.3">
      <c r="A123" t="s">
        <v>752</v>
      </c>
      <c r="B123">
        <v>998368</v>
      </c>
      <c r="C123">
        <v>912234</v>
      </c>
    </row>
    <row r="124" spans="1:8" x14ac:dyDescent="0.3">
      <c r="A124" t="s">
        <v>753</v>
      </c>
      <c r="B124">
        <v>998368</v>
      </c>
      <c r="C124">
        <v>923128</v>
      </c>
    </row>
    <row r="125" spans="1:8" x14ac:dyDescent="0.3">
      <c r="A125" t="s">
        <v>754</v>
      </c>
      <c r="B125">
        <v>998368</v>
      </c>
      <c r="C125">
        <v>916576</v>
      </c>
    </row>
    <row r="126" spans="1:8" x14ac:dyDescent="0.3">
      <c r="A126" t="s">
        <v>755</v>
      </c>
      <c r="B126">
        <v>998368</v>
      </c>
      <c r="C126">
        <v>897930</v>
      </c>
    </row>
    <row r="127" spans="1:8" x14ac:dyDescent="0.3">
      <c r="A127" t="s">
        <v>756</v>
      </c>
      <c r="B127">
        <v>998368</v>
      </c>
      <c r="C127">
        <v>865909</v>
      </c>
    </row>
    <row r="128" spans="1:8" x14ac:dyDescent="0.3">
      <c r="A128" t="s">
        <v>757</v>
      </c>
      <c r="B128">
        <v>998368</v>
      </c>
      <c r="C128">
        <v>911731</v>
      </c>
    </row>
    <row r="129" spans="1:3" x14ac:dyDescent="0.3">
      <c r="A129" t="s">
        <v>758</v>
      </c>
      <c r="B129">
        <v>998368</v>
      </c>
      <c r="C129">
        <v>931889</v>
      </c>
    </row>
    <row r="130" spans="1:3" x14ac:dyDescent="0.3">
      <c r="A130" t="s">
        <v>759</v>
      </c>
      <c r="B130">
        <v>998368</v>
      </c>
      <c r="C130">
        <v>935688</v>
      </c>
    </row>
    <row r="131" spans="1:3" x14ac:dyDescent="0.3">
      <c r="A131" t="s">
        <v>760</v>
      </c>
      <c r="B131">
        <v>998368</v>
      </c>
      <c r="C131">
        <v>962785</v>
      </c>
    </row>
    <row r="132" spans="1:3" x14ac:dyDescent="0.3">
      <c r="A132" t="s">
        <v>761</v>
      </c>
      <c r="B132">
        <v>998368</v>
      </c>
      <c r="C132">
        <v>978252</v>
      </c>
    </row>
    <row r="133" spans="1:3" x14ac:dyDescent="0.3">
      <c r="A133" t="s">
        <v>762</v>
      </c>
      <c r="B133">
        <v>998368</v>
      </c>
      <c r="C133">
        <v>1000543</v>
      </c>
    </row>
    <row r="134" spans="1:3" x14ac:dyDescent="0.3">
      <c r="A134" t="s">
        <v>763</v>
      </c>
      <c r="B134">
        <v>998368</v>
      </c>
      <c r="C134">
        <v>938324</v>
      </c>
    </row>
    <row r="135" spans="1:3" x14ac:dyDescent="0.3">
      <c r="A135" t="s">
        <v>764</v>
      </c>
      <c r="B135">
        <v>1007486</v>
      </c>
      <c r="C135">
        <v>926772</v>
      </c>
    </row>
    <row r="136" spans="1:3" x14ac:dyDescent="0.3">
      <c r="A136" t="s">
        <v>765</v>
      </c>
      <c r="B136">
        <v>1175657</v>
      </c>
      <c r="C136">
        <v>916615</v>
      </c>
    </row>
    <row r="137" spans="1:3" x14ac:dyDescent="0.3">
      <c r="A137" t="s">
        <v>766</v>
      </c>
      <c r="B137">
        <v>1265366</v>
      </c>
      <c r="C137">
        <v>897891</v>
      </c>
    </row>
    <row r="138" spans="1:3" x14ac:dyDescent="0.3">
      <c r="A138" t="s">
        <v>767</v>
      </c>
      <c r="B138">
        <v>1302606</v>
      </c>
      <c r="C138">
        <v>883664</v>
      </c>
    </row>
    <row r="139" spans="1:3" x14ac:dyDescent="0.3">
      <c r="A139" t="s">
        <v>768</v>
      </c>
      <c r="B139">
        <v>1625559</v>
      </c>
      <c r="C139">
        <v>917119</v>
      </c>
    </row>
    <row r="140" spans="1:3" x14ac:dyDescent="0.3">
      <c r="A140" t="s">
        <v>769</v>
      </c>
      <c r="B140">
        <v>2412336</v>
      </c>
      <c r="C140">
        <v>914522</v>
      </c>
    </row>
    <row r="141" spans="1:3" x14ac:dyDescent="0.3">
      <c r="A141" t="s">
        <v>770</v>
      </c>
      <c r="B141">
        <v>2565184</v>
      </c>
      <c r="C141">
        <v>957513</v>
      </c>
    </row>
  </sheetData>
  <mergeCells count="3">
    <mergeCell ref="A1:H1"/>
    <mergeCell ref="A2:H2"/>
    <mergeCell ref="A3:H3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30"/>
  <sheetViews>
    <sheetView showGridLines="0" zoomScaleNormal="100" workbookViewId="0">
      <selection sqref="A1:I1"/>
    </sheetView>
  </sheetViews>
  <sheetFormatPr defaultColWidth="8.6640625" defaultRowHeight="14.4" x14ac:dyDescent="0.3"/>
  <cols>
    <col min="1" max="1" width="5" customWidth="1"/>
    <col min="2" max="2" width="12" customWidth="1"/>
    <col min="3" max="3" width="20" customWidth="1"/>
    <col min="4" max="8" width="10" customWidth="1"/>
    <col min="9" max="9" width="12" customWidth="1"/>
  </cols>
  <sheetData>
    <row r="1" spans="1:9" ht="27.75" customHeight="1" x14ac:dyDescent="0.3">
      <c r="A1" s="2" t="s">
        <v>771</v>
      </c>
      <c r="B1" s="2"/>
      <c r="C1" s="2"/>
      <c r="D1" s="2"/>
      <c r="E1" s="2"/>
      <c r="F1" s="2"/>
      <c r="G1" s="2"/>
      <c r="H1" s="2"/>
      <c r="I1" s="2"/>
    </row>
    <row r="2" spans="1:9" ht="13.5" customHeight="1" x14ac:dyDescent="0.3">
      <c r="A2" s="7" t="s">
        <v>772</v>
      </c>
      <c r="B2" s="7"/>
      <c r="C2" s="7"/>
      <c r="D2" s="7"/>
      <c r="E2" s="7"/>
      <c r="F2" s="7"/>
      <c r="G2" s="7"/>
      <c r="H2" s="7"/>
      <c r="I2" s="7"/>
    </row>
    <row r="3" spans="1:9" ht="3.75" customHeight="1" x14ac:dyDescent="0.3">
      <c r="A3" s="6"/>
      <c r="B3" s="6"/>
      <c r="C3" s="6"/>
      <c r="D3" s="6"/>
      <c r="E3" s="6"/>
      <c r="F3" s="6"/>
      <c r="G3" s="6"/>
      <c r="H3" s="6"/>
      <c r="I3" s="6"/>
    </row>
    <row r="5" spans="1:9" ht="21.75" customHeight="1" x14ac:dyDescent="0.3">
      <c r="A5" s="1" t="s">
        <v>773</v>
      </c>
      <c r="B5" s="1"/>
      <c r="C5" s="1"/>
      <c r="D5" s="1"/>
      <c r="E5" s="1"/>
      <c r="F5" s="1"/>
      <c r="G5" s="1"/>
      <c r="H5" s="1"/>
      <c r="I5" s="1"/>
    </row>
    <row r="6" spans="1:9" ht="19.5" customHeight="1" x14ac:dyDescent="0.3">
      <c r="A6" s="9" t="s">
        <v>2</v>
      </c>
      <c r="B6" s="9" t="s">
        <v>671</v>
      </c>
      <c r="C6" s="9" t="s">
        <v>4</v>
      </c>
      <c r="D6" s="9" t="s">
        <v>774</v>
      </c>
      <c r="E6" s="9" t="s">
        <v>10</v>
      </c>
      <c r="F6" s="9" t="s">
        <v>11</v>
      </c>
      <c r="G6" s="9" t="s">
        <v>12</v>
      </c>
      <c r="H6" s="9" t="s">
        <v>775</v>
      </c>
      <c r="I6" s="9" t="s">
        <v>5</v>
      </c>
    </row>
    <row r="7" spans="1:9" ht="18.75" customHeight="1" x14ac:dyDescent="0.3">
      <c r="A7" s="118">
        <v>1</v>
      </c>
      <c r="B7" s="118" t="s">
        <v>558</v>
      </c>
      <c r="C7" s="79" t="s">
        <v>559</v>
      </c>
      <c r="D7" s="119">
        <v>440</v>
      </c>
      <c r="E7" s="120">
        <v>500</v>
      </c>
      <c r="F7" s="120">
        <v>550</v>
      </c>
      <c r="G7" s="120">
        <v>600</v>
      </c>
      <c r="H7" s="121">
        <v>385</v>
      </c>
      <c r="I7" s="122" t="s">
        <v>551</v>
      </c>
    </row>
    <row r="8" spans="1:9" ht="18.75" customHeight="1" x14ac:dyDescent="0.3">
      <c r="A8" s="11">
        <v>2</v>
      </c>
      <c r="B8" s="11" t="s">
        <v>650</v>
      </c>
      <c r="C8" s="81" t="s">
        <v>651</v>
      </c>
      <c r="D8" s="15">
        <v>1150</v>
      </c>
      <c r="E8" s="18">
        <v>1500</v>
      </c>
      <c r="F8" s="18">
        <v>1750</v>
      </c>
      <c r="G8" s="18">
        <v>2000</v>
      </c>
      <c r="H8" s="19">
        <v>600</v>
      </c>
      <c r="I8" s="53" t="s">
        <v>646</v>
      </c>
    </row>
    <row r="9" spans="1:9" ht="18.75" customHeight="1" x14ac:dyDescent="0.3">
      <c r="A9" s="118">
        <v>3</v>
      </c>
      <c r="B9" s="118" t="s">
        <v>632</v>
      </c>
      <c r="C9" s="79" t="s">
        <v>633</v>
      </c>
      <c r="D9" s="119">
        <v>156</v>
      </c>
      <c r="E9" s="120">
        <v>166</v>
      </c>
      <c r="F9" s="120">
        <v>172</v>
      </c>
      <c r="G9" s="120">
        <v>180</v>
      </c>
      <c r="H9" s="121">
        <v>155</v>
      </c>
      <c r="I9" s="122" t="s">
        <v>634</v>
      </c>
    </row>
    <row r="10" spans="1:9" ht="18.75" customHeight="1" x14ac:dyDescent="0.3">
      <c r="A10" s="11">
        <v>4</v>
      </c>
      <c r="B10" s="11" t="s">
        <v>629</v>
      </c>
      <c r="C10" s="81" t="s">
        <v>630</v>
      </c>
      <c r="D10" s="15">
        <v>900</v>
      </c>
      <c r="E10" s="18">
        <v>1250</v>
      </c>
      <c r="F10" s="18">
        <v>1350</v>
      </c>
      <c r="G10" s="18">
        <v>1500</v>
      </c>
      <c r="H10" s="19">
        <v>700</v>
      </c>
      <c r="I10" s="53" t="s">
        <v>625</v>
      </c>
    </row>
    <row r="11" spans="1:9" ht="18.75" customHeight="1" x14ac:dyDescent="0.3">
      <c r="A11" s="118">
        <v>5</v>
      </c>
      <c r="B11" s="118" t="s">
        <v>615</v>
      </c>
      <c r="C11" s="79" t="s">
        <v>616</v>
      </c>
      <c r="D11" s="119">
        <v>1000</v>
      </c>
      <c r="E11" s="120">
        <v>1175</v>
      </c>
      <c r="F11" s="120">
        <v>1200</v>
      </c>
      <c r="G11" s="120">
        <v>1225</v>
      </c>
      <c r="H11" s="121">
        <v>975</v>
      </c>
      <c r="I11" s="122" t="s">
        <v>617</v>
      </c>
    </row>
    <row r="12" spans="1:9" ht="18.75" customHeight="1" x14ac:dyDescent="0.3">
      <c r="A12" s="11">
        <v>6</v>
      </c>
      <c r="B12" s="11" t="s">
        <v>578</v>
      </c>
      <c r="C12" s="81" t="s">
        <v>578</v>
      </c>
      <c r="D12" s="15">
        <v>40</v>
      </c>
      <c r="E12" s="18">
        <v>60</v>
      </c>
      <c r="F12" s="18">
        <v>100</v>
      </c>
      <c r="G12" s="18">
        <v>150</v>
      </c>
      <c r="H12" s="19">
        <v>35</v>
      </c>
      <c r="I12" s="53" t="s">
        <v>575</v>
      </c>
    </row>
    <row r="13" spans="1:9" ht="18.75" customHeight="1" x14ac:dyDescent="0.3">
      <c r="A13" s="118">
        <v>7</v>
      </c>
      <c r="B13" s="118" t="s">
        <v>492</v>
      </c>
      <c r="C13" s="79" t="s">
        <v>493</v>
      </c>
      <c r="D13" s="119">
        <v>3000</v>
      </c>
      <c r="E13" s="120">
        <v>3300</v>
      </c>
      <c r="F13" s="120">
        <v>3800</v>
      </c>
      <c r="G13" s="120">
        <v>4000</v>
      </c>
      <c r="H13" s="121">
        <v>2800</v>
      </c>
      <c r="I13" s="122" t="s">
        <v>488</v>
      </c>
    </row>
    <row r="14" spans="1:9" ht="18.75" customHeight="1" x14ac:dyDescent="0.3">
      <c r="A14" s="11">
        <v>8</v>
      </c>
      <c r="B14" s="11" t="s">
        <v>427</v>
      </c>
      <c r="C14" s="81" t="s">
        <v>427</v>
      </c>
      <c r="D14" s="15">
        <v>457</v>
      </c>
      <c r="E14" s="18">
        <v>480</v>
      </c>
      <c r="F14" s="18">
        <v>500</v>
      </c>
      <c r="G14" s="18">
        <v>525</v>
      </c>
      <c r="H14" s="19">
        <v>430</v>
      </c>
      <c r="I14" s="53" t="s">
        <v>423</v>
      </c>
    </row>
    <row r="15" spans="1:9" ht="18.75" customHeight="1" x14ac:dyDescent="0.3">
      <c r="A15" s="118">
        <v>9</v>
      </c>
      <c r="B15" s="118" t="s">
        <v>413</v>
      </c>
      <c r="C15" s="79" t="s">
        <v>414</v>
      </c>
      <c r="D15" s="119">
        <v>950</v>
      </c>
      <c r="E15" s="120">
        <v>1000</v>
      </c>
      <c r="F15" s="120">
        <v>1050</v>
      </c>
      <c r="G15" s="120">
        <v>1200</v>
      </c>
      <c r="H15" s="121">
        <v>900</v>
      </c>
      <c r="I15" s="122" t="s">
        <v>408</v>
      </c>
    </row>
    <row r="16" spans="1:9" ht="18.75" customHeight="1" x14ac:dyDescent="0.3">
      <c r="A16" s="11">
        <v>10</v>
      </c>
      <c r="B16" s="11" t="s">
        <v>392</v>
      </c>
      <c r="C16" s="81" t="s">
        <v>393</v>
      </c>
      <c r="D16" s="15">
        <v>2150</v>
      </c>
      <c r="E16" s="18">
        <v>2200</v>
      </c>
      <c r="F16" s="18">
        <v>2300</v>
      </c>
      <c r="G16" s="18">
        <v>2400</v>
      </c>
      <c r="H16" s="19">
        <v>2025</v>
      </c>
      <c r="I16" s="53" t="s">
        <v>380</v>
      </c>
    </row>
    <row r="17" spans="1:9" ht="18.75" customHeight="1" x14ac:dyDescent="0.3">
      <c r="A17" s="118">
        <v>11</v>
      </c>
      <c r="B17" s="118" t="s">
        <v>372</v>
      </c>
      <c r="C17" s="79" t="s">
        <v>372</v>
      </c>
      <c r="D17" s="119">
        <v>360</v>
      </c>
      <c r="E17" s="120">
        <v>380</v>
      </c>
      <c r="F17" s="120">
        <v>395</v>
      </c>
      <c r="G17" s="120">
        <v>420</v>
      </c>
      <c r="H17" s="121">
        <v>325</v>
      </c>
      <c r="I17" s="122" t="s">
        <v>343</v>
      </c>
    </row>
    <row r="18" spans="1:9" ht="18.75" customHeight="1" x14ac:dyDescent="0.3">
      <c r="A18" s="11">
        <v>12</v>
      </c>
      <c r="B18" s="11" t="s">
        <v>374</v>
      </c>
      <c r="C18" s="81" t="s">
        <v>375</v>
      </c>
      <c r="D18" s="15">
        <v>645</v>
      </c>
      <c r="E18" s="18">
        <v>675</v>
      </c>
      <c r="F18" s="18">
        <v>725</v>
      </c>
      <c r="G18" s="123"/>
      <c r="H18" s="19">
        <v>600</v>
      </c>
      <c r="I18" s="53" t="s">
        <v>343</v>
      </c>
    </row>
    <row r="19" spans="1:9" ht="18.75" customHeight="1" x14ac:dyDescent="0.3">
      <c r="A19" s="118">
        <v>13</v>
      </c>
      <c r="B19" s="118" t="s">
        <v>323</v>
      </c>
      <c r="C19" s="79" t="s">
        <v>324</v>
      </c>
      <c r="D19" s="119">
        <v>640</v>
      </c>
      <c r="E19" s="120">
        <v>700</v>
      </c>
      <c r="F19" s="120">
        <v>740</v>
      </c>
      <c r="G19" s="120">
        <v>800</v>
      </c>
      <c r="H19" s="121">
        <v>625</v>
      </c>
      <c r="I19" s="122" t="s">
        <v>316</v>
      </c>
    </row>
    <row r="20" spans="1:9" ht="18.75" customHeight="1" x14ac:dyDescent="0.3">
      <c r="A20" s="11">
        <v>14</v>
      </c>
      <c r="B20" s="11" t="s">
        <v>312</v>
      </c>
      <c r="C20" s="81" t="s">
        <v>313</v>
      </c>
      <c r="D20" s="15">
        <v>250</v>
      </c>
      <c r="E20" s="18">
        <v>275</v>
      </c>
      <c r="F20" s="18">
        <v>290</v>
      </c>
      <c r="G20" s="18">
        <v>300</v>
      </c>
      <c r="H20" s="19">
        <v>225</v>
      </c>
      <c r="I20" s="53" t="s">
        <v>302</v>
      </c>
    </row>
    <row r="21" spans="1:9" ht="18.75" customHeight="1" x14ac:dyDescent="0.3">
      <c r="A21" s="118">
        <v>15</v>
      </c>
      <c r="B21" s="118" t="s">
        <v>282</v>
      </c>
      <c r="C21" s="79" t="s">
        <v>282</v>
      </c>
      <c r="D21" s="119">
        <v>430</v>
      </c>
      <c r="E21" s="120">
        <v>460</v>
      </c>
      <c r="F21" s="120">
        <v>475</v>
      </c>
      <c r="G21" s="120">
        <v>500</v>
      </c>
      <c r="H21" s="121">
        <v>400</v>
      </c>
      <c r="I21" s="122" t="s">
        <v>278</v>
      </c>
    </row>
    <row r="22" spans="1:9" ht="18.75" customHeight="1" x14ac:dyDescent="0.3">
      <c r="A22" s="11">
        <v>16</v>
      </c>
      <c r="B22" s="11" t="s">
        <v>268</v>
      </c>
      <c r="C22" s="81" t="s">
        <v>268</v>
      </c>
      <c r="D22" s="15">
        <v>275</v>
      </c>
      <c r="E22" s="18">
        <v>320</v>
      </c>
      <c r="F22" s="18">
        <v>350</v>
      </c>
      <c r="G22" s="123"/>
      <c r="H22" s="19">
        <v>250</v>
      </c>
      <c r="I22" s="53" t="s">
        <v>269</v>
      </c>
    </row>
    <row r="23" spans="1:9" ht="18.75" customHeight="1" x14ac:dyDescent="0.3">
      <c r="A23" s="118">
        <v>17</v>
      </c>
      <c r="B23" s="118" t="s">
        <v>226</v>
      </c>
      <c r="C23" s="79" t="s">
        <v>227</v>
      </c>
      <c r="D23" s="119">
        <v>180</v>
      </c>
      <c r="E23" s="120">
        <v>200</v>
      </c>
      <c r="F23" s="120">
        <v>210</v>
      </c>
      <c r="G23" s="120">
        <v>240</v>
      </c>
      <c r="H23" s="121">
        <v>178</v>
      </c>
      <c r="I23" s="122" t="s">
        <v>228</v>
      </c>
    </row>
    <row r="24" spans="1:9" ht="18.75" customHeight="1" x14ac:dyDescent="0.3">
      <c r="A24" s="11">
        <v>18</v>
      </c>
      <c r="B24" s="11" t="s">
        <v>186</v>
      </c>
      <c r="C24" s="81" t="s">
        <v>187</v>
      </c>
      <c r="D24" s="15">
        <v>1000</v>
      </c>
      <c r="E24" s="18">
        <v>1100</v>
      </c>
      <c r="F24" s="18">
        <v>1200</v>
      </c>
      <c r="G24" s="18">
        <v>1500</v>
      </c>
      <c r="H24" s="19">
        <v>950</v>
      </c>
      <c r="I24" s="53" t="s">
        <v>182</v>
      </c>
    </row>
    <row r="25" spans="1:9" ht="18.75" customHeight="1" x14ac:dyDescent="0.3">
      <c r="A25" s="118">
        <v>19</v>
      </c>
      <c r="B25" s="118" t="s">
        <v>124</v>
      </c>
      <c r="C25" s="79" t="s">
        <v>124</v>
      </c>
      <c r="D25" s="119">
        <v>45</v>
      </c>
      <c r="E25" s="120">
        <v>50</v>
      </c>
      <c r="F25" s="120">
        <v>55</v>
      </c>
      <c r="G25" s="120">
        <v>60</v>
      </c>
      <c r="H25" s="121">
        <v>40</v>
      </c>
      <c r="I25" s="122" t="s">
        <v>115</v>
      </c>
    </row>
    <row r="26" spans="1:9" ht="18.75" customHeight="1" x14ac:dyDescent="0.3">
      <c r="A26" s="11">
        <v>20</v>
      </c>
      <c r="B26" s="11" t="s">
        <v>126</v>
      </c>
      <c r="C26" s="81" t="s">
        <v>127</v>
      </c>
      <c r="D26" s="15">
        <v>850</v>
      </c>
      <c r="E26" s="18">
        <v>890</v>
      </c>
      <c r="F26" s="18">
        <v>1000</v>
      </c>
      <c r="G26" s="123"/>
      <c r="H26" s="19">
        <v>800</v>
      </c>
      <c r="I26" s="53" t="s">
        <v>115</v>
      </c>
    </row>
    <row r="27" spans="1:9" ht="18.75" customHeight="1" x14ac:dyDescent="0.3">
      <c r="A27" s="118">
        <v>21</v>
      </c>
      <c r="B27" s="118" t="s">
        <v>135</v>
      </c>
      <c r="C27" s="79" t="s">
        <v>136</v>
      </c>
      <c r="D27" s="119">
        <v>460</v>
      </c>
      <c r="E27" s="120">
        <v>525</v>
      </c>
      <c r="F27" s="120">
        <v>550</v>
      </c>
      <c r="G27" s="120">
        <v>600</v>
      </c>
      <c r="H27" s="121">
        <v>425</v>
      </c>
      <c r="I27" s="122" t="s">
        <v>130</v>
      </c>
    </row>
    <row r="28" spans="1:9" ht="18.75" customHeight="1" x14ac:dyDescent="0.3">
      <c r="A28" s="11">
        <v>22</v>
      </c>
      <c r="B28" s="11" t="s">
        <v>82</v>
      </c>
      <c r="C28" s="81" t="s">
        <v>82</v>
      </c>
      <c r="D28" s="15">
        <v>100</v>
      </c>
      <c r="E28" s="18">
        <v>120</v>
      </c>
      <c r="F28" s="18">
        <v>125</v>
      </c>
      <c r="G28" s="123"/>
      <c r="H28" s="19">
        <v>95</v>
      </c>
      <c r="I28" s="53" t="s">
        <v>69</v>
      </c>
    </row>
    <row r="29" spans="1:9" ht="18.75" customHeight="1" x14ac:dyDescent="0.3">
      <c r="A29" s="118">
        <v>23</v>
      </c>
      <c r="B29" s="118" t="s">
        <v>151</v>
      </c>
      <c r="C29" s="79" t="s">
        <v>152</v>
      </c>
      <c r="D29" s="119">
        <v>15</v>
      </c>
      <c r="E29" s="120">
        <v>16</v>
      </c>
      <c r="F29" s="120">
        <v>17</v>
      </c>
      <c r="G29" s="120">
        <v>18</v>
      </c>
      <c r="H29" s="121">
        <v>12.5</v>
      </c>
      <c r="I29" s="122" t="s">
        <v>153</v>
      </c>
    </row>
    <row r="30" spans="1:9" ht="18.75" customHeight="1" x14ac:dyDescent="0.3">
      <c r="A30" s="11">
        <v>24</v>
      </c>
      <c r="B30" s="11" t="s">
        <v>155</v>
      </c>
      <c r="C30" s="81" t="s">
        <v>156</v>
      </c>
      <c r="D30" s="15">
        <v>60</v>
      </c>
      <c r="E30" s="18">
        <v>70</v>
      </c>
      <c r="F30" s="18">
        <v>75</v>
      </c>
      <c r="G30" s="123"/>
      <c r="H30" s="19">
        <v>55</v>
      </c>
      <c r="I30" s="53" t="s">
        <v>157</v>
      </c>
    </row>
  </sheetData>
  <mergeCells count="4">
    <mergeCell ref="A1:I1"/>
    <mergeCell ref="A2:I2"/>
    <mergeCell ref="A3:I3"/>
    <mergeCell ref="A5:I5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34"/>
  <sheetViews>
    <sheetView showGridLines="0" zoomScaleNormal="100" workbookViewId="0">
      <selection sqref="A1:I1"/>
    </sheetView>
  </sheetViews>
  <sheetFormatPr defaultColWidth="8.6640625" defaultRowHeight="14.4" x14ac:dyDescent="0.3"/>
  <cols>
    <col min="1" max="1" width="15" customWidth="1"/>
    <col min="2" max="5" width="7" customWidth="1"/>
    <col min="6" max="6" width="10" customWidth="1"/>
    <col min="7" max="8" width="11" customWidth="1"/>
    <col min="9" max="9" width="12" customWidth="1"/>
  </cols>
  <sheetData>
    <row r="1" spans="1:9" ht="27.75" customHeight="1" x14ac:dyDescent="0.3">
      <c r="A1" s="2" t="s">
        <v>776</v>
      </c>
      <c r="B1" s="2"/>
      <c r="C1" s="2"/>
      <c r="D1" s="2"/>
      <c r="E1" s="2"/>
      <c r="F1" s="2"/>
      <c r="G1" s="2"/>
      <c r="H1" s="2"/>
      <c r="I1" s="2"/>
    </row>
    <row r="3" spans="1:9" ht="24" customHeight="1" x14ac:dyDescent="0.3">
      <c r="A3" s="124" t="s">
        <v>20</v>
      </c>
      <c r="B3" s="124" t="s">
        <v>777</v>
      </c>
      <c r="C3" s="124" t="s">
        <v>778</v>
      </c>
      <c r="D3" s="124" t="s">
        <v>779</v>
      </c>
      <c r="E3" s="124" t="s">
        <v>87</v>
      </c>
      <c r="F3" s="124" t="s">
        <v>660</v>
      </c>
      <c r="G3" s="124" t="s">
        <v>661</v>
      </c>
      <c r="H3" s="124" t="s">
        <v>780</v>
      </c>
      <c r="I3" s="124" t="s">
        <v>781</v>
      </c>
    </row>
    <row r="4" spans="1:9" ht="19.5" customHeight="1" x14ac:dyDescent="0.3">
      <c r="A4" s="125" t="s">
        <v>345</v>
      </c>
      <c r="B4" s="126">
        <v>3</v>
      </c>
      <c r="C4" s="127">
        <v>2</v>
      </c>
      <c r="D4" s="128">
        <v>0</v>
      </c>
      <c r="E4" s="129">
        <v>1</v>
      </c>
      <c r="F4" s="84">
        <v>1</v>
      </c>
      <c r="G4" s="130">
        <v>0.244701</v>
      </c>
      <c r="H4" s="131">
        <v>0</v>
      </c>
      <c r="I4" s="130">
        <v>0.33333299999999999</v>
      </c>
    </row>
    <row r="5" spans="1:9" ht="19.5" customHeight="1" x14ac:dyDescent="0.3">
      <c r="A5" s="132" t="s">
        <v>197</v>
      </c>
      <c r="B5" s="133">
        <v>2</v>
      </c>
      <c r="C5" s="134">
        <v>0</v>
      </c>
      <c r="D5" s="135">
        <v>2</v>
      </c>
      <c r="E5" s="136">
        <v>0</v>
      </c>
      <c r="F5" s="86">
        <v>0</v>
      </c>
      <c r="G5" s="137">
        <v>0</v>
      </c>
      <c r="H5" s="138">
        <v>-8.0555500000000002E-2</v>
      </c>
      <c r="I5" s="137">
        <v>0</v>
      </c>
    </row>
    <row r="6" spans="1:9" ht="19.5" customHeight="1" x14ac:dyDescent="0.3">
      <c r="A6" s="125" t="s">
        <v>45</v>
      </c>
      <c r="B6" s="126">
        <v>8</v>
      </c>
      <c r="C6" s="127">
        <v>6</v>
      </c>
      <c r="D6" s="128">
        <v>2</v>
      </c>
      <c r="E6" s="129">
        <v>0</v>
      </c>
      <c r="F6" s="84">
        <v>0.75</v>
      </c>
      <c r="G6" s="130">
        <v>0.16527249999999999</v>
      </c>
      <c r="H6" s="131">
        <v>-4.5546999999999997E-2</v>
      </c>
      <c r="I6" s="130">
        <v>0.217143</v>
      </c>
    </row>
    <row r="7" spans="1:9" ht="19.5" customHeight="1" x14ac:dyDescent="0.3">
      <c r="A7" s="132" t="s">
        <v>173</v>
      </c>
      <c r="B7" s="133">
        <v>2</v>
      </c>
      <c r="C7" s="134">
        <v>2</v>
      </c>
      <c r="D7" s="135">
        <v>0</v>
      </c>
      <c r="E7" s="136">
        <v>0</v>
      </c>
      <c r="F7" s="86">
        <v>1</v>
      </c>
      <c r="G7" s="137">
        <v>0.27323249999999999</v>
      </c>
      <c r="H7" s="138">
        <v>0</v>
      </c>
      <c r="I7" s="137">
        <v>0.45555600000000002</v>
      </c>
    </row>
    <row r="8" spans="1:9" ht="19.5" customHeight="1" x14ac:dyDescent="0.3">
      <c r="A8" s="125" t="s">
        <v>31</v>
      </c>
      <c r="B8" s="126">
        <v>8</v>
      </c>
      <c r="C8" s="127">
        <v>4</v>
      </c>
      <c r="D8" s="128">
        <v>3</v>
      </c>
      <c r="E8" s="129">
        <v>1</v>
      </c>
      <c r="F8" s="84">
        <v>0.57142857142857095</v>
      </c>
      <c r="G8" s="130">
        <v>0.22294275</v>
      </c>
      <c r="H8" s="131">
        <v>-5.5743666666666698E-2</v>
      </c>
      <c r="I8" s="130">
        <v>0.290323</v>
      </c>
    </row>
    <row r="9" spans="1:9" ht="19.5" customHeight="1" x14ac:dyDescent="0.3">
      <c r="A9" s="132" t="s">
        <v>570</v>
      </c>
      <c r="B9" s="133">
        <v>1</v>
      </c>
      <c r="C9" s="134">
        <v>1</v>
      </c>
      <c r="D9" s="135">
        <v>0</v>
      </c>
      <c r="E9" s="136">
        <v>0</v>
      </c>
      <c r="F9" s="86">
        <v>1</v>
      </c>
      <c r="G9" s="137">
        <v>0.3</v>
      </c>
      <c r="H9" s="138">
        <v>0</v>
      </c>
      <c r="I9" s="137">
        <v>0.3</v>
      </c>
    </row>
    <row r="10" spans="1:9" ht="19.5" customHeight="1" x14ac:dyDescent="0.3">
      <c r="A10" s="125" t="s">
        <v>367</v>
      </c>
      <c r="B10" s="126">
        <v>1</v>
      </c>
      <c r="C10" s="127">
        <v>0</v>
      </c>
      <c r="D10" s="128">
        <v>1</v>
      </c>
      <c r="E10" s="129">
        <v>0</v>
      </c>
      <c r="F10" s="84">
        <v>0</v>
      </c>
      <c r="G10" s="130">
        <v>0</v>
      </c>
      <c r="H10" s="131">
        <v>-6.3291E-2</v>
      </c>
      <c r="I10" s="130">
        <v>0</v>
      </c>
    </row>
    <row r="11" spans="1:9" ht="19.5" customHeight="1" x14ac:dyDescent="0.3">
      <c r="A11" s="132" t="s">
        <v>132</v>
      </c>
      <c r="B11" s="133">
        <v>4</v>
      </c>
      <c r="C11" s="134">
        <v>1</v>
      </c>
      <c r="D11" s="135">
        <v>2</v>
      </c>
      <c r="E11" s="136">
        <v>1</v>
      </c>
      <c r="F11" s="86">
        <v>0.33333333333333298</v>
      </c>
      <c r="G11" s="137">
        <v>5.8824000000000001E-2</v>
      </c>
      <c r="H11" s="138">
        <v>-4.6078500000000001E-2</v>
      </c>
      <c r="I11" s="137">
        <v>5.8824000000000001E-2</v>
      </c>
    </row>
    <row r="12" spans="1:9" ht="19.5" customHeight="1" x14ac:dyDescent="0.3">
      <c r="A12" s="125" t="s">
        <v>158</v>
      </c>
      <c r="B12" s="126">
        <v>7</v>
      </c>
      <c r="C12" s="127">
        <v>6</v>
      </c>
      <c r="D12" s="128">
        <v>0</v>
      </c>
      <c r="E12" s="129">
        <v>1</v>
      </c>
      <c r="F12" s="84">
        <v>1</v>
      </c>
      <c r="G12" s="130">
        <v>0.141299333333333</v>
      </c>
      <c r="H12" s="131">
        <v>0</v>
      </c>
      <c r="I12" s="130">
        <v>0.22602700000000001</v>
      </c>
    </row>
    <row r="13" spans="1:9" ht="19.5" customHeight="1" x14ac:dyDescent="0.3">
      <c r="A13" s="132" t="s">
        <v>224</v>
      </c>
      <c r="B13" s="133">
        <v>6</v>
      </c>
      <c r="C13" s="134">
        <v>5</v>
      </c>
      <c r="D13" s="135">
        <v>0</v>
      </c>
      <c r="E13" s="136">
        <v>1</v>
      </c>
      <c r="F13" s="86">
        <v>1</v>
      </c>
      <c r="G13" s="137">
        <v>0.48677120000000001</v>
      </c>
      <c r="H13" s="138">
        <v>0</v>
      </c>
      <c r="I13" s="137">
        <v>1.6530609999999999</v>
      </c>
    </row>
    <row r="14" spans="1:9" ht="19.5" customHeight="1" x14ac:dyDescent="0.3">
      <c r="A14" s="125" t="s">
        <v>546</v>
      </c>
      <c r="B14" s="126">
        <v>1</v>
      </c>
      <c r="C14" s="127">
        <v>1</v>
      </c>
      <c r="D14" s="128">
        <v>0</v>
      </c>
      <c r="E14" s="129">
        <v>0</v>
      </c>
      <c r="F14" s="84">
        <v>1</v>
      </c>
      <c r="G14" s="130">
        <v>0.33333299999999999</v>
      </c>
      <c r="H14" s="131">
        <v>0</v>
      </c>
      <c r="I14" s="130">
        <v>0.33333299999999999</v>
      </c>
    </row>
    <row r="15" spans="1:9" ht="19.5" customHeight="1" x14ac:dyDescent="0.3">
      <c r="A15" s="132" t="s">
        <v>148</v>
      </c>
      <c r="B15" s="133">
        <v>7</v>
      </c>
      <c r="C15" s="134">
        <v>3</v>
      </c>
      <c r="D15" s="135">
        <v>3</v>
      </c>
      <c r="E15" s="136">
        <v>1</v>
      </c>
      <c r="F15" s="86">
        <v>0.5</v>
      </c>
      <c r="G15" s="137">
        <v>0.18650800000000001</v>
      </c>
      <c r="H15" s="138">
        <v>-3.9825333333333303E-2</v>
      </c>
      <c r="I15" s="137">
        <v>0.2</v>
      </c>
    </row>
    <row r="16" spans="1:9" ht="19.5" customHeight="1" x14ac:dyDescent="0.3">
      <c r="A16" s="125" t="s">
        <v>203</v>
      </c>
      <c r="B16" s="126">
        <v>3</v>
      </c>
      <c r="C16" s="127">
        <v>1</v>
      </c>
      <c r="D16" s="128">
        <v>1</v>
      </c>
      <c r="E16" s="129">
        <v>1</v>
      </c>
      <c r="F16" s="84">
        <v>0.5</v>
      </c>
      <c r="G16" s="130">
        <v>0.73912999999999995</v>
      </c>
      <c r="H16" s="131">
        <v>-3.7037E-2</v>
      </c>
      <c r="I16" s="130">
        <v>0.73912999999999995</v>
      </c>
    </row>
    <row r="17" spans="1:9" ht="19.5" customHeight="1" x14ac:dyDescent="0.3">
      <c r="A17" s="132" t="s">
        <v>97</v>
      </c>
      <c r="B17" s="133">
        <v>9</v>
      </c>
      <c r="C17" s="134">
        <v>5</v>
      </c>
      <c r="D17" s="135">
        <v>4</v>
      </c>
      <c r="E17" s="136">
        <v>0</v>
      </c>
      <c r="F17" s="86">
        <v>0.55555555555555602</v>
      </c>
      <c r="G17" s="137">
        <v>0.24459320000000001</v>
      </c>
      <c r="H17" s="138">
        <v>-3.238775E-2</v>
      </c>
      <c r="I17" s="137">
        <v>0.56200000000000006</v>
      </c>
    </row>
    <row r="18" spans="1:9" ht="19.5" customHeight="1" x14ac:dyDescent="0.3">
      <c r="A18" s="125" t="s">
        <v>210</v>
      </c>
      <c r="B18" s="126">
        <v>4</v>
      </c>
      <c r="C18" s="127">
        <v>2</v>
      </c>
      <c r="D18" s="128">
        <v>1</v>
      </c>
      <c r="E18" s="129">
        <v>1</v>
      </c>
      <c r="F18" s="84">
        <v>0.66666666666666696</v>
      </c>
      <c r="G18" s="130">
        <v>0.15384600000000001</v>
      </c>
      <c r="H18" s="131">
        <v>-4.1096000000000001E-2</v>
      </c>
      <c r="I18" s="130">
        <v>0.30769200000000002</v>
      </c>
    </row>
    <row r="19" spans="1:9" ht="19.5" customHeight="1" x14ac:dyDescent="0.3">
      <c r="A19" s="132" t="s">
        <v>317</v>
      </c>
      <c r="B19" s="133">
        <v>2</v>
      </c>
      <c r="C19" s="134">
        <v>0</v>
      </c>
      <c r="D19" s="135">
        <v>1</v>
      </c>
      <c r="E19" s="136">
        <v>1</v>
      </c>
      <c r="F19" s="86">
        <v>0</v>
      </c>
      <c r="G19" s="137">
        <v>0</v>
      </c>
      <c r="H19" s="138">
        <v>-3.8462000000000003E-2</v>
      </c>
      <c r="I19" s="137">
        <v>0</v>
      </c>
    </row>
    <row r="20" spans="1:9" ht="19.5" customHeight="1" x14ac:dyDescent="0.3">
      <c r="A20" s="125" t="s">
        <v>38</v>
      </c>
      <c r="B20" s="126">
        <v>9</v>
      </c>
      <c r="C20" s="127">
        <v>5</v>
      </c>
      <c r="D20" s="128">
        <v>2</v>
      </c>
      <c r="E20" s="129">
        <v>2</v>
      </c>
      <c r="F20" s="84">
        <v>0.71428571428571397</v>
      </c>
      <c r="G20" s="130">
        <v>0.119768</v>
      </c>
      <c r="H20" s="131">
        <v>8.4419999999999999E-3</v>
      </c>
      <c r="I20" s="130">
        <v>0.206897</v>
      </c>
    </row>
    <row r="21" spans="1:9" ht="19.5" customHeight="1" x14ac:dyDescent="0.3">
      <c r="A21" s="132" t="s">
        <v>110</v>
      </c>
      <c r="B21" s="133">
        <v>8</v>
      </c>
      <c r="C21" s="134">
        <v>8</v>
      </c>
      <c r="D21" s="135">
        <v>0</v>
      </c>
      <c r="E21" s="136">
        <v>0</v>
      </c>
      <c r="F21" s="86">
        <v>1</v>
      </c>
      <c r="G21" s="137">
        <v>0.37336075000000002</v>
      </c>
      <c r="H21" s="138">
        <v>0</v>
      </c>
      <c r="I21" s="137">
        <v>1.3651690000000001</v>
      </c>
    </row>
    <row r="22" spans="1:9" ht="19.5" customHeight="1" x14ac:dyDescent="0.3">
      <c r="A22" s="125" t="s">
        <v>219</v>
      </c>
      <c r="B22" s="126">
        <v>1</v>
      </c>
      <c r="C22" s="127">
        <v>1</v>
      </c>
      <c r="D22" s="128">
        <v>0</v>
      </c>
      <c r="E22" s="129">
        <v>0</v>
      </c>
      <c r="F22" s="84">
        <v>1</v>
      </c>
      <c r="G22" s="130">
        <v>0.117021</v>
      </c>
      <c r="H22" s="131">
        <v>0</v>
      </c>
      <c r="I22" s="130">
        <v>0.117021</v>
      </c>
    </row>
    <row r="23" spans="1:9" ht="19.5" customHeight="1" x14ac:dyDescent="0.3">
      <c r="A23" s="132" t="s">
        <v>475</v>
      </c>
      <c r="B23" s="133">
        <v>2</v>
      </c>
      <c r="C23" s="134">
        <v>2</v>
      </c>
      <c r="D23" s="135">
        <v>0</v>
      </c>
      <c r="E23" s="136">
        <v>0</v>
      </c>
      <c r="F23" s="86">
        <v>1</v>
      </c>
      <c r="G23" s="137">
        <v>0.14954049999999999</v>
      </c>
      <c r="H23" s="138">
        <v>0</v>
      </c>
      <c r="I23" s="137">
        <v>0.18797</v>
      </c>
    </row>
    <row r="24" spans="1:9" ht="19.5" customHeight="1" x14ac:dyDescent="0.3">
      <c r="A24" s="125" t="s">
        <v>188</v>
      </c>
      <c r="B24" s="126">
        <v>2</v>
      </c>
      <c r="C24" s="127">
        <v>1</v>
      </c>
      <c r="D24" s="128">
        <v>0</v>
      </c>
      <c r="E24" s="129">
        <v>1</v>
      </c>
      <c r="F24" s="84">
        <v>1</v>
      </c>
      <c r="G24" s="130">
        <v>0.103896</v>
      </c>
      <c r="H24" s="131">
        <v>0</v>
      </c>
      <c r="I24" s="130">
        <v>0.103896</v>
      </c>
    </row>
    <row r="25" spans="1:9" ht="19.5" customHeight="1" x14ac:dyDescent="0.3">
      <c r="A25" s="132" t="s">
        <v>75</v>
      </c>
      <c r="B25" s="133">
        <v>13</v>
      </c>
      <c r="C25" s="134">
        <v>12</v>
      </c>
      <c r="D25" s="135">
        <v>1</v>
      </c>
      <c r="E25" s="136">
        <v>0</v>
      </c>
      <c r="F25" s="86">
        <v>0.92307692307692302</v>
      </c>
      <c r="G25" s="137">
        <v>0.163977333333333</v>
      </c>
      <c r="H25" s="138">
        <v>-5.4878000000000003E-2</v>
      </c>
      <c r="I25" s="137">
        <v>0.30499999999999999</v>
      </c>
    </row>
    <row r="26" spans="1:9" ht="19.5" customHeight="1" x14ac:dyDescent="0.3">
      <c r="A26" s="125" t="s">
        <v>64</v>
      </c>
      <c r="B26" s="126">
        <v>10</v>
      </c>
      <c r="C26" s="127">
        <v>7</v>
      </c>
      <c r="D26" s="128">
        <v>1</v>
      </c>
      <c r="E26" s="129">
        <v>2</v>
      </c>
      <c r="F26" s="84">
        <v>0.875</v>
      </c>
      <c r="G26" s="130">
        <v>0.207396142857143</v>
      </c>
      <c r="H26" s="131">
        <v>-3.7499999999999999E-2</v>
      </c>
      <c r="I26" s="130">
        <v>0.4</v>
      </c>
    </row>
    <row r="27" spans="1:9" ht="19.5" customHeight="1" x14ac:dyDescent="0.3">
      <c r="A27" s="132" t="s">
        <v>283</v>
      </c>
      <c r="B27" s="133">
        <v>1</v>
      </c>
      <c r="C27" s="134">
        <v>0</v>
      </c>
      <c r="D27" s="135">
        <v>0</v>
      </c>
      <c r="E27" s="136">
        <v>1</v>
      </c>
      <c r="F27" s="86">
        <v>0</v>
      </c>
      <c r="G27" s="137">
        <v>0</v>
      </c>
      <c r="H27" s="138">
        <v>0</v>
      </c>
      <c r="I27" s="137">
        <v>0</v>
      </c>
    </row>
    <row r="28" spans="1:9" ht="19.5" customHeight="1" x14ac:dyDescent="0.3">
      <c r="A28" s="125" t="s">
        <v>55</v>
      </c>
      <c r="B28" s="126">
        <v>7</v>
      </c>
      <c r="C28" s="127">
        <v>3</v>
      </c>
      <c r="D28" s="128">
        <v>0</v>
      </c>
      <c r="E28" s="129">
        <v>4</v>
      </c>
      <c r="F28" s="84">
        <v>1</v>
      </c>
      <c r="G28" s="130">
        <v>0.120201</v>
      </c>
      <c r="H28" s="131">
        <v>0</v>
      </c>
      <c r="I28" s="130">
        <v>0.15107899999999999</v>
      </c>
    </row>
    <row r="29" spans="1:9" ht="19.5" customHeight="1" x14ac:dyDescent="0.3">
      <c r="A29" s="132" t="s">
        <v>410</v>
      </c>
      <c r="B29" s="133">
        <v>3</v>
      </c>
      <c r="C29" s="134">
        <v>2</v>
      </c>
      <c r="D29" s="135">
        <v>0</v>
      </c>
      <c r="E29" s="136">
        <v>1</v>
      </c>
      <c r="F29" s="86">
        <v>1</v>
      </c>
      <c r="G29" s="137">
        <v>0.61923649999999997</v>
      </c>
      <c r="H29" s="138">
        <v>0</v>
      </c>
      <c r="I29" s="137">
        <v>1.142857</v>
      </c>
    </row>
    <row r="30" spans="1:9" ht="19.5" customHeight="1" x14ac:dyDescent="0.3">
      <c r="A30" s="125" t="s">
        <v>85</v>
      </c>
      <c r="B30" s="126">
        <v>2</v>
      </c>
      <c r="C30" s="127">
        <v>0</v>
      </c>
      <c r="D30" s="128">
        <v>1</v>
      </c>
      <c r="E30" s="129">
        <v>1</v>
      </c>
      <c r="F30" s="84">
        <v>0</v>
      </c>
      <c r="G30" s="130">
        <v>0</v>
      </c>
      <c r="H30" s="131">
        <v>-5.8824000000000001E-2</v>
      </c>
      <c r="I30" s="130">
        <v>0</v>
      </c>
    </row>
    <row r="31" spans="1:9" ht="19.5" customHeight="1" x14ac:dyDescent="0.3">
      <c r="A31" s="132" t="s">
        <v>526</v>
      </c>
      <c r="B31" s="133">
        <v>1</v>
      </c>
      <c r="C31" s="134">
        <v>1</v>
      </c>
      <c r="D31" s="135">
        <v>0</v>
      </c>
      <c r="E31" s="136">
        <v>0</v>
      </c>
      <c r="F31" s="86">
        <v>1</v>
      </c>
      <c r="G31" s="137">
        <v>0.17241400000000001</v>
      </c>
      <c r="H31" s="138">
        <v>0</v>
      </c>
      <c r="I31" s="137">
        <v>0.17241400000000001</v>
      </c>
    </row>
    <row r="32" spans="1:9" ht="19.5" customHeight="1" x14ac:dyDescent="0.3">
      <c r="A32" s="125" t="s">
        <v>334</v>
      </c>
      <c r="B32" s="126">
        <v>2</v>
      </c>
      <c r="C32" s="127">
        <v>2</v>
      </c>
      <c r="D32" s="128">
        <v>0</v>
      </c>
      <c r="E32" s="129">
        <v>0</v>
      </c>
      <c r="F32" s="84">
        <v>1</v>
      </c>
      <c r="G32" s="130">
        <v>0.1842105</v>
      </c>
      <c r="H32" s="131">
        <v>0</v>
      </c>
      <c r="I32" s="130">
        <v>0.25</v>
      </c>
    </row>
    <row r="33" spans="1:9" ht="19.5" customHeight="1" x14ac:dyDescent="0.3">
      <c r="A33" s="132" t="s">
        <v>137</v>
      </c>
      <c r="B33" s="133">
        <v>4</v>
      </c>
      <c r="C33" s="134">
        <v>1</v>
      </c>
      <c r="D33" s="135">
        <v>0</v>
      </c>
      <c r="E33" s="136">
        <v>3</v>
      </c>
      <c r="F33" s="86">
        <v>1</v>
      </c>
      <c r="G33" s="137">
        <v>0.787879</v>
      </c>
      <c r="H33" s="138">
        <v>0</v>
      </c>
      <c r="I33" s="137">
        <v>0.787879</v>
      </c>
    </row>
    <row r="34" spans="1:9" ht="19.5" customHeight="1" x14ac:dyDescent="0.3">
      <c r="A34" s="139" t="s">
        <v>782</v>
      </c>
      <c r="B34" s="140">
        <v>133</v>
      </c>
      <c r="C34" s="140">
        <v>84</v>
      </c>
      <c r="D34" s="140">
        <v>25</v>
      </c>
      <c r="E34" s="140">
        <v>24</v>
      </c>
      <c r="F34" s="141">
        <v>0.77064220183486198</v>
      </c>
      <c r="G34" s="141">
        <v>0.24018344047619</v>
      </c>
      <c r="H34" s="141">
        <v>-4.2992959999999997E-2</v>
      </c>
      <c r="I34" s="141">
        <v>1.6530609999999999</v>
      </c>
    </row>
  </sheetData>
  <mergeCells count="1">
    <mergeCell ref="A1:I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Trade Tracker</vt:lpstr>
      <vt:lpstr>Performance Dashboard</vt:lpstr>
      <vt:lpstr>💰 Portfolio Simulator</vt:lpstr>
      <vt:lpstr>🔔 Alert Board</vt:lpstr>
      <vt:lpstr>Sector 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Piyans Jain</cp:lastModifiedBy>
  <cp:revision>2</cp:revision>
  <dcterms:created xsi:type="dcterms:W3CDTF">2026-05-23T04:26:24Z</dcterms:created>
  <dcterms:modified xsi:type="dcterms:W3CDTF">2026-05-23T17:07:38Z</dcterms:modified>
  <dc:language>en-US</dc:language>
</cp:coreProperties>
</file>